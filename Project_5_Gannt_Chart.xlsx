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c49b30d93d0cb452/Classes/25-26 Semester 2/CIVE 202/Project 5/"/>
    </mc:Choice>
  </mc:AlternateContent>
  <xr:revisionPtr revIDLastSave="23" documentId="8_{034F00EA-60B4-4C2E-A95C-738B80E4B12E}" xr6:coauthVersionLast="47" xr6:coauthVersionMax="47" xr10:uidLastSave="{61BE5908-3213-4283-B10F-18BB0F87FBAC}"/>
  <bookViews>
    <workbookView xWindow="11424" yWindow="0" windowWidth="11712" windowHeight="1233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6" i="11" l="1"/>
  <c r="AZ6" i="11"/>
  <c r="BA6" i="11"/>
  <c r="BB6" i="11"/>
  <c r="BC6" i="11"/>
  <c r="BD6" i="11"/>
  <c r="BE6" i="11"/>
  <c r="H28" i="11"/>
  <c r="H7" i="11"/>
  <c r="I5" i="11" l="1"/>
  <c r="H23" i="11"/>
  <c r="H19" i="11"/>
  <c r="H15" i="11"/>
  <c r="H9" i="11"/>
  <c r="H20" i="11" l="1"/>
  <c r="H10" i="11"/>
  <c r="I6" i="11"/>
  <c r="H25" i="11" l="1"/>
  <c r="H22" i="11"/>
  <c r="H11" i="11"/>
  <c r="H21" i="11"/>
  <c r="H16" i="11"/>
  <c r="H14" i="11"/>
  <c r="J5" i="11"/>
  <c r="K5" i="11" s="1"/>
  <c r="L5" i="11" s="1"/>
  <c r="M5" i="11" s="1"/>
  <c r="N5" i="11" s="1"/>
  <c r="O5" i="11" s="1"/>
  <c r="P5" i="11" s="1"/>
  <c r="I4" i="11"/>
  <c r="H12" i="11" l="1"/>
  <c r="H13" i="11"/>
  <c r="P4" i="11"/>
  <c r="Q5" i="11"/>
  <c r="R5" i="11" s="1"/>
  <c r="S5" i="11" s="1"/>
  <c r="T5" i="11" s="1"/>
  <c r="U5" i="11" s="1"/>
  <c r="V5" i="11" s="1"/>
  <c r="W5" i="11" s="1"/>
  <c r="J6" i="11"/>
  <c r="H18"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Z5" i="11" l="1"/>
  <c r="BA5" i="11" s="1"/>
  <c r="BB5" i="11" s="1"/>
  <c r="BC5" i="11" s="1"/>
  <c r="BD5" i="11" s="1"/>
  <c r="BE5" i="11" s="1"/>
  <c r="AY4" i="11"/>
  <c r="AX6" i="11"/>
  <c r="T6" i="11"/>
  <c r="U6" i="11" l="1"/>
  <c r="V6" i="11" l="1"/>
  <c r="W6" i="11" l="1"/>
  <c r="X6" i="11" l="1"/>
  <c r="Y6" i="11" l="1"/>
  <c r="Z6" i="11" l="1"/>
  <c r="AA6" i="11" l="1"/>
  <c r="AB6" i="11" l="1"/>
  <c r="AC6" i="11" l="1"/>
  <c r="AD6" i="11" l="1"/>
  <c r="AE6" i="11" l="1"/>
  <c r="AF6" i="11" l="1"/>
  <c r="AG6" i="11" l="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<sst xmlns="http://schemas.openxmlformats.org/spreadsheetml/2006/main" count="71" uniqueCount="55">
  <si>
    <t>Project #5</t>
  </si>
  <si>
    <t>Project start:</t>
  </si>
  <si>
    <t>Display week:</t>
  </si>
  <si>
    <t>DEPENDENCIES</t>
  </si>
  <si>
    <t>TASK</t>
  </si>
  <si>
    <t>ASSIGNED TO</t>
  </si>
  <si>
    <t>PROGRESS</t>
  </si>
  <si>
    <t>START</t>
  </si>
  <si>
    <t>END</t>
  </si>
  <si>
    <t xml:space="preserve">Do not delete this row. This row is hidden to preserve a formula that is used to highlight the current day within the project schedule. </t>
  </si>
  <si>
    <t xml:space="preserve">Github Repository </t>
  </si>
  <si>
    <t>Github</t>
  </si>
  <si>
    <t>Create GitHub repository</t>
  </si>
  <si>
    <t>Noah, Jacob, Max</t>
  </si>
  <si>
    <t>Create README</t>
  </si>
  <si>
    <t>Upload Files Github</t>
  </si>
  <si>
    <t xml:space="preserve">QAQC </t>
  </si>
  <si>
    <t>Submit Project</t>
  </si>
  <si>
    <t>Scope of Work</t>
  </si>
  <si>
    <t>Gantt Chart</t>
  </si>
  <si>
    <t>Create Gantt Chart</t>
  </si>
  <si>
    <t>Update Gantt Chart</t>
  </si>
  <si>
    <t xml:space="preserve"> Code</t>
  </si>
  <si>
    <t>Create calculation functions (AISC equations)</t>
  </si>
  <si>
    <t>Add input commands into code</t>
  </si>
  <si>
    <t>Make Annotated Code Document</t>
  </si>
  <si>
    <t>Run Simulations</t>
  </si>
  <si>
    <t>Plot Data</t>
  </si>
  <si>
    <t>Check results/data</t>
  </si>
  <si>
    <t>Executive Summaries/Report</t>
  </si>
  <si>
    <t>Non-Technical Executive Summary</t>
  </si>
  <si>
    <t>Technical Executive Summary</t>
  </si>
  <si>
    <t>Report</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</si>
  <si>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</si>
  <si>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</si>
  <si>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</si>
  <si>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</si>
  <si>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</si>
  <si>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</si>
  <si>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</si>
  <si>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</si>
  <si>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</si>
  <si>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</si>
  <si>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</si>
  <si>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</si>
  <si>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</si>
  <si>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</si>
  <si>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Project members: Noah Morland, agg.max(perry), Jacob Lamoureux</t>
  </si>
  <si>
    <t>Project Goals Section</t>
  </si>
  <si>
    <t>Project Tasks Section</t>
  </si>
  <si>
    <t>Deliverables Section</t>
  </si>
  <si>
    <t>Document Time on each task Section</t>
  </si>
  <si>
    <t>Max</t>
  </si>
  <si>
    <t>Jacob</t>
  </si>
  <si>
    <t>Noah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</si>
</sst>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m/d/yy"/>
  </numFmts>
  <fonts count="3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8"/>
      <name val="Arial"/>
      <family val="2"/>
      <scheme val="minor"/>
    </font>
    <font>
      <b/>
      <sz val="10"/>
      <color rgb="FF000000"/>
      <name val="Arial"/>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4" tint="0.59999389629810485"/>
        <bgColor indexed="64"/>
      </patternFill>
    </fill>
  </fills>
  <borders count="17">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0" tint="-4.9989318521683403E-2"/>
      </top>
      <bottom style="thin">
        <color theme="0" tint="-4.9989318521683403E-2"/>
      </bottom>
      <diagonal/>
    </border>
    <border>
      <left style="thin">
        <color theme="1" tint="0.499984740745262"/>
      </left>
      <right style="thin">
        <color theme="1" tint="0.499984740745262"/>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rgb="FF000000"/>
      </bottom>
      <diagonal/>
    </border>
    <border>
      <left/>
      <right/>
      <top style="thin">
        <color rgb="FF000000"/>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8">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167" fontId="19" fillId="10" borderId="14" xfId="0" applyNumberFormat="1" applyFont="1" applyFill="1" applyBorder="1" applyAlignment="1">
      <alignment horizontal="center" vertical="center"/>
    </xf>
    <xf numFmtId="167" fontId="19" fillId="10" borderId="12" xfId="0" applyNumberFormat="1" applyFont="1" applyFill="1" applyBorder="1" applyAlignment="1">
      <alignment horizontal="center" vertical="center"/>
    </xf>
    <xf numFmtId="167" fontId="19" fillId="10" borderId="13" xfId="0" applyNumberFormat="1" applyFont="1" applyFill="1" applyBorder="1" applyAlignment="1">
      <alignment horizontal="center" vertical="center"/>
    </xf>
    <xf numFmtId="0" fontId="20" fillId="2" borderId="11" xfId="0" applyFont="1" applyFill="1" applyBorder="1" applyAlignment="1">
      <alignment horizontal="center" vertical="center" shrinkToFit="1"/>
    </xf>
    <xf numFmtId="0" fontId="20" fillId="2" borderId="10"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4" fillId="0" borderId="9" xfId="0" applyFont="1" applyBorder="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0" fillId="0" borderId="0" xfId="0" applyAlignment="1">
      <alignment vertical="center"/>
    </xf>
    <xf numFmtId="0" fontId="0" fillId="0" borderId="4" xfId="0" applyBorder="1" applyAlignment="1">
      <alignment vertical="center"/>
    </xf>
    <xf numFmtId="0" fontId="17" fillId="5" borderId="0" xfId="12" applyFont="1" applyFill="1" applyBorder="1">
      <alignment horizontal="left" vertical="center" indent="2"/>
    </xf>
    <xf numFmtId="9" fontId="1" fillId="5" borderId="0" xfId="2" applyFont="1" applyFill="1" applyAlignment="1">
      <alignment horizontal="center" vertical="center"/>
    </xf>
    <xf numFmtId="168" fontId="17" fillId="3" borderId="6" xfId="10" applyNumberFormat="1" applyFont="1" applyFill="1" applyBorder="1">
      <alignment horizontal="center" vertical="center"/>
    </xf>
    <xf numFmtId="168" fontId="17" fillId="3" borderId="7" xfId="10" applyNumberFormat="1" applyFont="1" applyFill="1" applyBorder="1">
      <alignment horizontal="center" vertical="center"/>
    </xf>
    <xf numFmtId="0" fontId="11" fillId="2" borderId="15" xfId="3" applyFill="1" applyBorder="1" applyAlignment="1">
      <alignment wrapText="1"/>
    </xf>
    <xf numFmtId="0" fontId="18" fillId="9" borderId="16" xfId="0" applyFont="1" applyFill="1" applyBorder="1" applyAlignment="1">
      <alignment horizontal="left" vertical="center" indent="1"/>
    </xf>
    <xf numFmtId="0" fontId="18" fillId="9" borderId="16" xfId="0" applyFont="1" applyFill="1" applyBorder="1" applyAlignment="1">
      <alignment vertical="center"/>
    </xf>
    <xf numFmtId="0" fontId="18" fillId="9" borderId="16" xfId="0" applyFont="1" applyFill="1" applyBorder="1" applyAlignment="1">
      <alignment horizontal="center" vertical="center"/>
    </xf>
    <xf numFmtId="0" fontId="4" fillId="2" borderId="15" xfId="0" applyFont="1" applyFill="1" applyBorder="1" applyAlignment="1">
      <alignment horizontal="left" indent="1"/>
    </xf>
    <xf numFmtId="0" fontId="4" fillId="2" borderId="15" xfId="0" applyFont="1" applyFill="1" applyBorder="1"/>
    <xf numFmtId="0" fontId="29" fillId="2" borderId="16" xfId="3" applyFont="1" applyFill="1" applyBorder="1" applyAlignment="1">
      <alignment horizontal="left" vertical="center" wrapText="1"/>
    </xf>
    <xf numFmtId="0" fontId="21" fillId="11" borderId="6" xfId="12" applyFont="1" applyFill="1" applyBorder="1">
      <alignment horizontal="left" vertical="center" indent="2"/>
    </xf>
    <xf numFmtId="166" fontId="17" fillId="2" borderId="13" xfId="0" applyNumberFormat="1" applyFont="1" applyFill="1" applyBorder="1" applyAlignment="1">
      <alignment horizontal="center" vertical="center" wrapText="1"/>
    </xf>
    <xf numFmtId="166" fontId="17" fillId="2" borderId="14" xfId="0" applyNumberFormat="1" applyFont="1" applyFill="1" applyBorder="1" applyAlignment="1">
      <alignment horizontal="center" vertical="center" wrapText="1"/>
    </xf>
    <xf numFmtId="166" fontId="17" fillId="2" borderId="12" xfId="0" applyNumberFormat="1" applyFont="1" applyFill="1" applyBorder="1" applyAlignment="1">
      <alignment horizontal="center" vertical="center" wrapText="1"/>
    </xf>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4">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215881"/>
      <color rgb="FF42648A"/>
      <color rgb="FF969696"/>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0</xdr:col>
      <xdr:colOff>180975</xdr:colOff>
      <xdr:row>7</xdr:row>
      <xdr:rowOff>114300</xdr:rowOff>
    </xdr:from>
    <xdr:to>
      <xdr:col>0</xdr:col>
      <xdr:colOff>238125</xdr:colOff>
      <xdr:row>33</xdr:row>
      <xdr:rowOff>0</xdr:rowOff>
    </xdr:to>
    <xdr:cxnSp macro="">
      <xdr:nvCxnSpPr>
        <xdr:cNvPr id="71" name="Straight Connector 33">
          <a:extLst>
            <a:ext uri="{FF2B5EF4-FFF2-40B4-BE49-F238E27FC236}">
              <a16:creationId xmlns:a16="http://schemas.microsoft.com/office/drawing/2014/main" id="{77D245C7-C976-4C76-BFA0-DF6AEDABF205}"/>
            </a:ext>
            <a:ext uri="{147F2762-F138-4A5C-976F-8EAC2B608ADB}">
              <a16:predDERef xmlns:a16="http://schemas.microsoft.com/office/drawing/2014/main" pred="{FC3EE9B1-5131-4BCB-9BC6-9FA7632BEF6A}"/>
            </a:ext>
          </a:extLst>
        </xdr:cNvPr>
        <xdr:cNvCxnSpPr>
          <a:cxnSpLocks/>
        </xdr:cNvCxnSpPr>
      </xdr:nvCxnSpPr>
      <xdr:spPr>
        <a:xfrm>
          <a:off x="180975" y="2781300"/>
          <a:ext cx="57150" cy="979170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499871</xdr:colOff>
      <xdr:row>7</xdr:row>
      <xdr:rowOff>61736</xdr:rowOff>
    </xdr:from>
    <xdr:to>
      <xdr:col>0</xdr:col>
      <xdr:colOff>549901</xdr:colOff>
      <xdr:row>33</xdr:row>
      <xdr:rowOff>6212</xdr:rowOff>
    </xdr:to>
    <xdr:cxnSp macro="">
      <xdr:nvCxnSpPr>
        <xdr:cNvPr id="54" name="Straight Connector 35">
          <a:extLst>
            <a:ext uri="{FF2B5EF4-FFF2-40B4-BE49-F238E27FC236}">
              <a16:creationId xmlns:a16="http://schemas.microsoft.com/office/drawing/2014/main" id="{84D31E36-2A68-4B2C-9E97-AE0A45620FFE}"/>
            </a:ext>
          </a:extLst>
        </xdr:cNvPr>
        <xdr:cNvCxnSpPr/>
      </xdr:nvCxnSpPr>
      <xdr:spPr>
        <a:xfrm>
          <a:off x="499871" y="2728736"/>
          <a:ext cx="50030" cy="9850476"/>
        </a:xfrm>
        <a:prstGeom prst="line">
          <a:avLst/>
        </a:prstGeom>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1047750</xdr:colOff>
      <xdr:row>7</xdr:row>
      <xdr:rowOff>57150</xdr:rowOff>
    </xdr:from>
    <xdr:to>
      <xdr:col>0</xdr:col>
      <xdr:colOff>1133475</xdr:colOff>
      <xdr:row>32</xdr:row>
      <xdr:rowOff>219075</xdr:rowOff>
    </xdr:to>
    <xdr:cxnSp macro="">
      <xdr:nvCxnSpPr>
        <xdr:cNvPr id="162" name="Straight Connector 37">
          <a:extLst>
            <a:ext uri="{FF2B5EF4-FFF2-40B4-BE49-F238E27FC236}">
              <a16:creationId xmlns:a16="http://schemas.microsoft.com/office/drawing/2014/main" id="{BA4E6CCC-FA21-416B-B2B3-9AFC8E2AD5E1}"/>
            </a:ext>
            <a:ext uri="{147F2762-F138-4A5C-976F-8EAC2B608ADB}">
              <a16:predDERef xmlns:a16="http://schemas.microsoft.com/office/drawing/2014/main" pred="{84D31E36-2A68-4B2C-9E97-AE0A45620FFE}"/>
            </a:ext>
          </a:extLst>
        </xdr:cNvPr>
        <xdr:cNvCxnSpPr>
          <a:cxnSpLocks/>
        </xdr:cNvCxnSpPr>
      </xdr:nvCxnSpPr>
      <xdr:spPr>
        <a:xfrm>
          <a:off x="1047750" y="2724150"/>
          <a:ext cx="85725" cy="9686925"/>
        </a:xfrm>
        <a:prstGeom prst="line">
          <a:avLst/>
        </a:prstGeom>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762000</xdr:colOff>
      <xdr:row>7</xdr:row>
      <xdr:rowOff>323850</xdr:rowOff>
    </xdr:from>
    <xdr:to>
      <xdr:col>0</xdr:col>
      <xdr:colOff>857250</xdr:colOff>
      <xdr:row>32</xdr:row>
      <xdr:rowOff>247650</xdr:rowOff>
    </xdr:to>
    <xdr:cxnSp macro="">
      <xdr:nvCxnSpPr>
        <xdr:cNvPr id="63" name="Straight Connector 39">
          <a:extLst>
            <a:ext uri="{FF2B5EF4-FFF2-40B4-BE49-F238E27FC236}">
              <a16:creationId xmlns:a16="http://schemas.microsoft.com/office/drawing/2014/main" id="{C69A9170-107A-4FA0-A66E-EDAEA6756705}"/>
            </a:ext>
            <a:ext uri="{147F2762-F138-4A5C-976F-8EAC2B608ADB}">
              <a16:predDERef xmlns:a16="http://schemas.microsoft.com/office/drawing/2014/main" pred="{BA4E6CCC-FA21-416B-B2B3-9AFC8E2AD5E1}"/>
            </a:ext>
          </a:extLst>
        </xdr:cNvPr>
        <xdr:cNvCxnSpPr>
          <a:cxnSpLocks/>
        </xdr:cNvCxnSpPr>
      </xdr:nvCxnSpPr>
      <xdr:spPr>
        <a:xfrm>
          <a:off x="762000" y="2990850"/>
          <a:ext cx="95250" cy="9448800"/>
        </a:xfrm>
        <a:prstGeom prst="line">
          <a:avLst/>
        </a:prstGeom>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1083028</xdr:colOff>
      <xdr:row>12</xdr:row>
      <xdr:rowOff>112047</xdr:rowOff>
    </xdr:from>
    <xdr:to>
      <xdr:col>0</xdr:col>
      <xdr:colOff>1701185</xdr:colOff>
      <xdr:row>12</xdr:row>
      <xdr:rowOff>112653</xdr:rowOff>
    </xdr:to>
    <xdr:cxnSp macro="">
      <xdr:nvCxnSpPr>
        <xdr:cNvPr id="76" name="Straight Arrow Connector 173">
          <a:extLst>
            <a:ext uri="{FF2B5EF4-FFF2-40B4-BE49-F238E27FC236}">
              <a16:creationId xmlns:a16="http://schemas.microsoft.com/office/drawing/2014/main" id="{F297C3AC-7CF6-4CA0-AE74-0C981D05A0D1}"/>
            </a:ext>
          </a:extLst>
        </xdr:cNvPr>
        <xdr:cNvCxnSpPr/>
      </xdr:nvCxnSpPr>
      <xdr:spPr>
        <a:xfrm flipH="1">
          <a:off x="1083028" y="4684047"/>
          <a:ext cx="618157" cy="606"/>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876065</xdr:colOff>
      <xdr:row>31</xdr:row>
      <xdr:rowOff>260658</xdr:rowOff>
    </xdr:from>
    <xdr:to>
      <xdr:col>0</xdr:col>
      <xdr:colOff>1736234</xdr:colOff>
      <xdr:row>31</xdr:row>
      <xdr:rowOff>263995</xdr:rowOff>
    </xdr:to>
    <xdr:cxnSp macro="">
      <xdr:nvCxnSpPr>
        <xdr:cNvPr id="89" name="Straight Arrow Connector 180">
          <a:extLst>
            <a:ext uri="{FF2B5EF4-FFF2-40B4-BE49-F238E27FC236}">
              <a16:creationId xmlns:a16="http://schemas.microsoft.com/office/drawing/2014/main" id="{33F6B51B-2FE0-43C7-9B3B-4D67B5B7B39D}"/>
            </a:ext>
          </a:extLst>
        </xdr:cNvPr>
        <xdr:cNvCxnSpPr/>
      </xdr:nvCxnSpPr>
      <xdr:spPr>
        <a:xfrm flipH="1">
          <a:off x="876065" y="12071658"/>
          <a:ext cx="860169" cy="3337"/>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866657</xdr:colOff>
      <xdr:row>29</xdr:row>
      <xdr:rowOff>282810</xdr:rowOff>
    </xdr:from>
    <xdr:to>
      <xdr:col>0</xdr:col>
      <xdr:colOff>1725463</xdr:colOff>
      <xdr:row>29</xdr:row>
      <xdr:rowOff>282810</xdr:rowOff>
    </xdr:to>
    <xdr:cxnSp macro="">
      <xdr:nvCxnSpPr>
        <xdr:cNvPr id="87" name="Straight Arrow Connector 192">
          <a:extLst>
            <a:ext uri="{FF2B5EF4-FFF2-40B4-BE49-F238E27FC236}">
              <a16:creationId xmlns:a16="http://schemas.microsoft.com/office/drawing/2014/main" id="{3BF31FC9-E40C-4463-BF5F-5E58CD9F3C23}"/>
            </a:ext>
          </a:extLst>
        </xdr:cNvPr>
        <xdr:cNvCxnSpPr/>
      </xdr:nvCxnSpPr>
      <xdr:spPr>
        <a:xfrm>
          <a:off x="866657" y="11331810"/>
          <a:ext cx="858806" cy="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857250</xdr:colOff>
      <xdr:row>30</xdr:row>
      <xdr:rowOff>272463</xdr:rowOff>
    </xdr:from>
    <xdr:to>
      <xdr:col>0</xdr:col>
      <xdr:colOff>1716056</xdr:colOff>
      <xdr:row>30</xdr:row>
      <xdr:rowOff>272463</xdr:rowOff>
    </xdr:to>
    <xdr:cxnSp macro="">
      <xdr:nvCxnSpPr>
        <xdr:cNvPr id="88" name="Straight Arrow Connector 193">
          <a:extLst>
            <a:ext uri="{FF2B5EF4-FFF2-40B4-BE49-F238E27FC236}">
              <a16:creationId xmlns:a16="http://schemas.microsoft.com/office/drawing/2014/main" id="{417BFC1C-8395-4926-8713-602984C85981}"/>
            </a:ext>
          </a:extLst>
        </xdr:cNvPr>
        <xdr:cNvCxnSpPr/>
      </xdr:nvCxnSpPr>
      <xdr:spPr>
        <a:xfrm>
          <a:off x="857250" y="11702463"/>
          <a:ext cx="858806" cy="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565620</xdr:colOff>
      <xdr:row>25</xdr:row>
      <xdr:rowOff>187913</xdr:rowOff>
    </xdr:from>
    <xdr:to>
      <xdr:col>0</xdr:col>
      <xdr:colOff>1717419</xdr:colOff>
      <xdr:row>25</xdr:row>
      <xdr:rowOff>197321</xdr:rowOff>
    </xdr:to>
    <xdr:cxnSp macro="">
      <xdr:nvCxnSpPr>
        <xdr:cNvPr id="98" name="Straight Arrow Connector 196">
          <a:extLst>
            <a:ext uri="{FF2B5EF4-FFF2-40B4-BE49-F238E27FC236}">
              <a16:creationId xmlns:a16="http://schemas.microsoft.com/office/drawing/2014/main" id="{D4CFB8F5-9499-4CC8-B3BF-44C170F76CEE}"/>
            </a:ext>
          </a:extLst>
        </xdr:cNvPr>
        <xdr:cNvCxnSpPr/>
      </xdr:nvCxnSpPr>
      <xdr:spPr>
        <a:xfrm flipH="1" flipV="1">
          <a:off x="565620" y="9712913"/>
          <a:ext cx="1151799" cy="9408"/>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575028</xdr:colOff>
      <xdr:row>22</xdr:row>
      <xdr:rowOff>243887</xdr:rowOff>
    </xdr:from>
    <xdr:to>
      <xdr:col>0</xdr:col>
      <xdr:colOff>1685102</xdr:colOff>
      <xdr:row>22</xdr:row>
      <xdr:rowOff>243887</xdr:rowOff>
    </xdr:to>
    <xdr:cxnSp macro="">
      <xdr:nvCxnSpPr>
        <xdr:cNvPr id="109" name="Straight Arrow Connector 198">
          <a:extLst>
            <a:ext uri="{FF2B5EF4-FFF2-40B4-BE49-F238E27FC236}">
              <a16:creationId xmlns:a16="http://schemas.microsoft.com/office/drawing/2014/main" id="{99C031AC-69A2-494D-8519-C2A04B5F7092}"/>
            </a:ext>
          </a:extLst>
        </xdr:cNvPr>
        <xdr:cNvCxnSpPr/>
      </xdr:nvCxnSpPr>
      <xdr:spPr>
        <a:xfrm>
          <a:off x="575028" y="8625887"/>
          <a:ext cx="1110074"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556213</xdr:colOff>
      <xdr:row>23</xdr:row>
      <xdr:rowOff>103246</xdr:rowOff>
    </xdr:from>
    <xdr:to>
      <xdr:col>0</xdr:col>
      <xdr:colOff>1685102</xdr:colOff>
      <xdr:row>23</xdr:row>
      <xdr:rowOff>112654</xdr:rowOff>
    </xdr:to>
    <xdr:cxnSp macro="">
      <xdr:nvCxnSpPr>
        <xdr:cNvPr id="108" name="Straight Arrow Connector 199">
          <a:extLst>
            <a:ext uri="{FF2B5EF4-FFF2-40B4-BE49-F238E27FC236}">
              <a16:creationId xmlns:a16="http://schemas.microsoft.com/office/drawing/2014/main" id="{D43918B5-23A5-4AC1-94E4-2F354E864F27}"/>
            </a:ext>
          </a:extLst>
        </xdr:cNvPr>
        <xdr:cNvCxnSpPr/>
      </xdr:nvCxnSpPr>
      <xdr:spPr>
        <a:xfrm>
          <a:off x="556213" y="8866246"/>
          <a:ext cx="1128889" cy="9408"/>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584435</xdr:colOff>
      <xdr:row>24</xdr:row>
      <xdr:rowOff>169099</xdr:rowOff>
    </xdr:from>
    <xdr:to>
      <xdr:col>0</xdr:col>
      <xdr:colOff>1736234</xdr:colOff>
      <xdr:row>24</xdr:row>
      <xdr:rowOff>178507</xdr:rowOff>
    </xdr:to>
    <xdr:cxnSp macro="">
      <xdr:nvCxnSpPr>
        <xdr:cNvPr id="110" name="Straight Arrow Connector 205">
          <a:extLst>
            <a:ext uri="{FF2B5EF4-FFF2-40B4-BE49-F238E27FC236}">
              <a16:creationId xmlns:a16="http://schemas.microsoft.com/office/drawing/2014/main" id="{CDF77A41-CEA7-4D06-B672-E191BF3CB128}"/>
            </a:ext>
          </a:extLst>
        </xdr:cNvPr>
        <xdr:cNvCxnSpPr/>
      </xdr:nvCxnSpPr>
      <xdr:spPr>
        <a:xfrm flipH="1" flipV="1">
          <a:off x="584435" y="9313099"/>
          <a:ext cx="1151799" cy="9408"/>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533400</xdr:colOff>
      <xdr:row>26</xdr:row>
      <xdr:rowOff>200025</xdr:rowOff>
    </xdr:from>
    <xdr:to>
      <xdr:col>0</xdr:col>
      <xdr:colOff>1643474</xdr:colOff>
      <xdr:row>26</xdr:row>
      <xdr:rowOff>200025</xdr:rowOff>
    </xdr:to>
    <xdr:cxnSp macro="">
      <xdr:nvCxnSpPr>
        <xdr:cNvPr id="111" name="Straight Arrow Connector 198">
          <a:extLst>
            <a:ext uri="{FF2B5EF4-FFF2-40B4-BE49-F238E27FC236}">
              <a16:creationId xmlns:a16="http://schemas.microsoft.com/office/drawing/2014/main" id="{4809362C-26A9-483E-BF42-C820427CDC0A}"/>
            </a:ext>
          </a:extLst>
        </xdr:cNvPr>
        <xdr:cNvCxnSpPr/>
      </xdr:nvCxnSpPr>
      <xdr:spPr>
        <a:xfrm>
          <a:off x="533400" y="10106025"/>
          <a:ext cx="1110074"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542925</xdr:colOff>
      <xdr:row>27</xdr:row>
      <xdr:rowOff>238125</xdr:rowOff>
    </xdr:from>
    <xdr:to>
      <xdr:col>0</xdr:col>
      <xdr:colOff>1652999</xdr:colOff>
      <xdr:row>27</xdr:row>
      <xdr:rowOff>238125</xdr:rowOff>
    </xdr:to>
    <xdr:cxnSp macro="">
      <xdr:nvCxnSpPr>
        <xdr:cNvPr id="112" name="Straight Arrow Connector 198">
          <a:extLst>
            <a:ext uri="{FF2B5EF4-FFF2-40B4-BE49-F238E27FC236}">
              <a16:creationId xmlns:a16="http://schemas.microsoft.com/office/drawing/2014/main" id="{2C134FDC-C8E2-4893-BA34-B680F5E14A5A}"/>
            </a:ext>
          </a:extLst>
        </xdr:cNvPr>
        <xdr:cNvCxnSpPr/>
      </xdr:nvCxnSpPr>
      <xdr:spPr>
        <a:xfrm>
          <a:off x="542925" y="10525125"/>
          <a:ext cx="1110074"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1063037</xdr:colOff>
      <xdr:row>8</xdr:row>
      <xdr:rowOff>131704</xdr:rowOff>
    </xdr:from>
    <xdr:to>
      <xdr:col>0</xdr:col>
      <xdr:colOff>1683926</xdr:colOff>
      <xdr:row>8</xdr:row>
      <xdr:rowOff>150518</xdr:rowOff>
    </xdr:to>
    <xdr:cxnSp macro="">
      <xdr:nvCxnSpPr>
        <xdr:cNvPr id="140" name="Straight Arrow Connector 198">
          <a:extLst>
            <a:ext uri="{FF2B5EF4-FFF2-40B4-BE49-F238E27FC236}">
              <a16:creationId xmlns:a16="http://schemas.microsoft.com/office/drawing/2014/main" id="{8C7F35AF-798B-4F12-8919-B59640051915}"/>
            </a:ext>
          </a:extLst>
        </xdr:cNvPr>
        <xdr:cNvCxnSpPr/>
      </xdr:nvCxnSpPr>
      <xdr:spPr>
        <a:xfrm>
          <a:off x="1063037" y="3198519"/>
          <a:ext cx="620889" cy="18814"/>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1092436</xdr:colOff>
      <xdr:row>11</xdr:row>
      <xdr:rowOff>159692</xdr:rowOff>
    </xdr:from>
    <xdr:to>
      <xdr:col>0</xdr:col>
      <xdr:colOff>1647472</xdr:colOff>
      <xdr:row>11</xdr:row>
      <xdr:rowOff>169099</xdr:rowOff>
    </xdr:to>
    <xdr:cxnSp macro="">
      <xdr:nvCxnSpPr>
        <xdr:cNvPr id="125" name="Straight Arrow Connector 198">
          <a:extLst>
            <a:ext uri="{FF2B5EF4-FFF2-40B4-BE49-F238E27FC236}">
              <a16:creationId xmlns:a16="http://schemas.microsoft.com/office/drawing/2014/main" id="{23AFFEDB-9D8B-43F4-A8BD-EEEB05C74501}"/>
            </a:ext>
          </a:extLst>
        </xdr:cNvPr>
        <xdr:cNvCxnSpPr/>
      </xdr:nvCxnSpPr>
      <xdr:spPr>
        <a:xfrm>
          <a:off x="1092436" y="4350692"/>
          <a:ext cx="555036" cy="9407"/>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1101842</xdr:colOff>
      <xdr:row>18</xdr:row>
      <xdr:rowOff>234949</xdr:rowOff>
    </xdr:from>
    <xdr:to>
      <xdr:col>0</xdr:col>
      <xdr:colOff>1656878</xdr:colOff>
      <xdr:row>18</xdr:row>
      <xdr:rowOff>244356</xdr:rowOff>
    </xdr:to>
    <xdr:cxnSp macro="">
      <xdr:nvCxnSpPr>
        <xdr:cNvPr id="137" name="Straight Arrow Connector 198">
          <a:extLst>
            <a:ext uri="{FF2B5EF4-FFF2-40B4-BE49-F238E27FC236}">
              <a16:creationId xmlns:a16="http://schemas.microsoft.com/office/drawing/2014/main" id="{23DBE726-38FF-48CF-A14F-81EC472478FA}"/>
            </a:ext>
          </a:extLst>
        </xdr:cNvPr>
        <xdr:cNvCxnSpPr/>
      </xdr:nvCxnSpPr>
      <xdr:spPr>
        <a:xfrm>
          <a:off x="1101842" y="7092949"/>
          <a:ext cx="555036" cy="9407"/>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1111132</xdr:colOff>
      <xdr:row>28</xdr:row>
      <xdr:rowOff>272462</xdr:rowOff>
    </xdr:from>
    <xdr:to>
      <xdr:col>0</xdr:col>
      <xdr:colOff>1666168</xdr:colOff>
      <xdr:row>28</xdr:row>
      <xdr:rowOff>281869</xdr:rowOff>
    </xdr:to>
    <xdr:cxnSp macro="">
      <xdr:nvCxnSpPr>
        <xdr:cNvPr id="128" name="Straight Arrow Connector 198">
          <a:extLst>
            <a:ext uri="{FF2B5EF4-FFF2-40B4-BE49-F238E27FC236}">
              <a16:creationId xmlns:a16="http://schemas.microsoft.com/office/drawing/2014/main" id="{74196581-E2CD-42FE-891A-147973D4D6C1}"/>
            </a:ext>
          </a:extLst>
        </xdr:cNvPr>
        <xdr:cNvCxnSpPr/>
      </xdr:nvCxnSpPr>
      <xdr:spPr>
        <a:xfrm>
          <a:off x="1111132" y="10940462"/>
          <a:ext cx="555036" cy="9407"/>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200025</xdr:colOff>
      <xdr:row>19</xdr:row>
      <xdr:rowOff>180975</xdr:rowOff>
    </xdr:from>
    <xdr:to>
      <xdr:col>0</xdr:col>
      <xdr:colOff>1761302</xdr:colOff>
      <xdr:row>19</xdr:row>
      <xdr:rowOff>196262</xdr:rowOff>
    </xdr:to>
    <xdr:cxnSp macro="">
      <xdr:nvCxnSpPr>
        <xdr:cNvPr id="239" name="Straight Arrow Connector 198">
          <a:extLst>
            <a:ext uri="{FF2B5EF4-FFF2-40B4-BE49-F238E27FC236}">
              <a16:creationId xmlns:a16="http://schemas.microsoft.com/office/drawing/2014/main" id="{EEA6F12E-9255-4CE0-BA0A-3605AD1B7C77}"/>
            </a:ext>
          </a:extLst>
        </xdr:cNvPr>
        <xdr:cNvCxnSpPr/>
      </xdr:nvCxnSpPr>
      <xdr:spPr>
        <a:xfrm>
          <a:off x="200025" y="7419975"/>
          <a:ext cx="1561277" cy="15287"/>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189324</xdr:colOff>
      <xdr:row>20</xdr:row>
      <xdr:rowOff>93839</xdr:rowOff>
    </xdr:from>
    <xdr:to>
      <xdr:col>0</xdr:col>
      <xdr:colOff>1755284</xdr:colOff>
      <xdr:row>20</xdr:row>
      <xdr:rowOff>120181</xdr:rowOff>
    </xdr:to>
    <xdr:cxnSp macro="">
      <xdr:nvCxnSpPr>
        <xdr:cNvPr id="135" name="Straight Arrow Connector 205">
          <a:extLst>
            <a:ext uri="{FF2B5EF4-FFF2-40B4-BE49-F238E27FC236}">
              <a16:creationId xmlns:a16="http://schemas.microsoft.com/office/drawing/2014/main" id="{A41C27E6-EF9C-4951-9B59-A61D1D395264}"/>
            </a:ext>
          </a:extLst>
        </xdr:cNvPr>
        <xdr:cNvCxnSpPr/>
      </xdr:nvCxnSpPr>
      <xdr:spPr>
        <a:xfrm flipH="1" flipV="1">
          <a:off x="189324" y="7713839"/>
          <a:ext cx="1565960" cy="2634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1120657</xdr:colOff>
      <xdr:row>13</xdr:row>
      <xdr:rowOff>244358</xdr:rowOff>
    </xdr:from>
    <xdr:to>
      <xdr:col>0</xdr:col>
      <xdr:colOff>1675693</xdr:colOff>
      <xdr:row>13</xdr:row>
      <xdr:rowOff>253765</xdr:rowOff>
    </xdr:to>
    <xdr:cxnSp macro="">
      <xdr:nvCxnSpPr>
        <xdr:cNvPr id="136" name="Straight Arrow Connector 198">
          <a:extLst>
            <a:ext uri="{FF2B5EF4-FFF2-40B4-BE49-F238E27FC236}">
              <a16:creationId xmlns:a16="http://schemas.microsoft.com/office/drawing/2014/main" id="{97B7342A-0F65-43A8-B20B-DBFA4B456D61}"/>
            </a:ext>
          </a:extLst>
        </xdr:cNvPr>
        <xdr:cNvCxnSpPr/>
      </xdr:nvCxnSpPr>
      <xdr:spPr>
        <a:xfrm>
          <a:off x="1120657" y="5197358"/>
          <a:ext cx="555036" cy="9407"/>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1139472</xdr:colOff>
      <xdr:row>21</xdr:row>
      <xdr:rowOff>187913</xdr:rowOff>
    </xdr:from>
    <xdr:to>
      <xdr:col>0</xdr:col>
      <xdr:colOff>1694508</xdr:colOff>
      <xdr:row>21</xdr:row>
      <xdr:rowOff>197320</xdr:rowOff>
    </xdr:to>
    <xdr:cxnSp macro="">
      <xdr:nvCxnSpPr>
        <xdr:cNvPr id="138" name="Straight Arrow Connector 198">
          <a:extLst>
            <a:ext uri="{FF2B5EF4-FFF2-40B4-BE49-F238E27FC236}">
              <a16:creationId xmlns:a16="http://schemas.microsoft.com/office/drawing/2014/main" id="{1CE8AFC0-0A67-432B-A7BF-551CC2DF6B6C}"/>
            </a:ext>
          </a:extLst>
        </xdr:cNvPr>
        <xdr:cNvCxnSpPr/>
      </xdr:nvCxnSpPr>
      <xdr:spPr>
        <a:xfrm>
          <a:off x="1139472" y="8188913"/>
          <a:ext cx="555036" cy="9407"/>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E32"/>
  <sheetViews>
    <sheetView showGridLines="0" tabSelected="1" showRuler="0" zoomScale="80" zoomScaleNormal="96" zoomScalePageLayoutView="70" workbookViewId="0">
      <selection activeCell="B10" sqref="B10"/>
    </sheetView>
  </sheetViews>
  <sheetFormatPr defaultColWidth="8.69921875" defaultRowHeight="30" customHeight="1" x14ac:dyDescent="0.25"/>
  <cols>
    <col min="1" max="1" width="22.59765625" style="10" customWidth="1"/>
    <col min="2" max="2" width="50.19921875" bestFit="1" customWidth="1"/>
    <col min="3" max="3" width="18.3984375" bestFit="1" customWidth="1"/>
    <col min="4" max="4" width="10.69921875" customWidth="1"/>
    <col min="5" max="5" width="10.69921875" style="2" customWidth="1"/>
    <col min="6" max="6" width="10.69921875" customWidth="1"/>
    <col min="7" max="7" width="8.69921875" customWidth="1"/>
    <col min="8" max="8" width="6" hidden="1" customWidth="1"/>
    <col min="9" max="9" width="8.69921875" customWidth="1"/>
    <col min="10" max="65" width="2.69921875" customWidth="1"/>
  </cols>
  <sheetData>
    <row r="1" spans="1:57" ht="90" customHeight="1" x14ac:dyDescent="1.45">
      <c r="A1" s="11"/>
      <c r="B1" s="68" t="s">
        <v>0</v>
      </c>
      <c r="C1" s="13"/>
      <c r="D1" s="14"/>
      <c r="E1" s="15"/>
      <c r="F1" s="16"/>
      <c r="H1" s="1"/>
      <c r="I1" s="96" t="s">
        <v>1</v>
      </c>
      <c r="J1" s="97"/>
      <c r="K1" s="97"/>
      <c r="L1" s="97"/>
      <c r="M1" s="97"/>
      <c r="N1" s="97"/>
      <c r="O1" s="97"/>
      <c r="P1" s="19"/>
      <c r="Q1" s="95">
        <v>46069</v>
      </c>
      <c r="R1" s="94"/>
      <c r="S1" s="94"/>
      <c r="T1" s="94"/>
      <c r="U1" s="94"/>
      <c r="V1" s="94"/>
      <c r="W1" s="94"/>
      <c r="X1" s="94"/>
      <c r="Y1" s="94"/>
      <c r="Z1" s="94"/>
    </row>
    <row r="2" spans="1:57" ht="30" customHeight="1" x14ac:dyDescent="0.6">
      <c r="B2" s="66" t="s">
        <v>47</v>
      </c>
      <c r="C2" s="67"/>
      <c r="D2" s="17"/>
      <c r="E2" s="18"/>
      <c r="F2" s="17"/>
      <c r="I2" s="96" t="s">
        <v>2</v>
      </c>
      <c r="J2" s="97"/>
      <c r="K2" s="97"/>
      <c r="L2" s="97"/>
      <c r="M2" s="97"/>
      <c r="N2" s="97"/>
      <c r="O2" s="97"/>
      <c r="P2" s="19"/>
      <c r="Q2" s="93">
        <v>7</v>
      </c>
      <c r="R2" s="94"/>
      <c r="S2" s="94"/>
      <c r="T2" s="94"/>
      <c r="U2" s="94"/>
      <c r="V2" s="94"/>
      <c r="W2" s="94"/>
      <c r="X2" s="94"/>
      <c r="Y2" s="94"/>
      <c r="Z2" s="94"/>
    </row>
    <row r="3" spans="1:57" s="21" customFormat="1" ht="30" customHeight="1" x14ac:dyDescent="0.25">
      <c r="A3" s="10"/>
      <c r="B3" s="20"/>
      <c r="D3" s="22"/>
      <c r="E3" s="23"/>
    </row>
    <row r="4" spans="1:57" s="21" customFormat="1" ht="30" customHeight="1" x14ac:dyDescent="0.25">
      <c r="A4" s="88" t="s">
        <v>3</v>
      </c>
      <c r="B4" s="83" t="s">
        <v>4</v>
      </c>
      <c r="C4" s="84" t="s">
        <v>5</v>
      </c>
      <c r="D4" s="85" t="s">
        <v>6</v>
      </c>
      <c r="E4" s="85" t="s">
        <v>7</v>
      </c>
      <c r="F4" s="85" t="s">
        <v>8</v>
      </c>
      <c r="I4" s="91">
        <f>I5</f>
        <v>46111</v>
      </c>
      <c r="J4" s="91"/>
      <c r="K4" s="91"/>
      <c r="L4" s="91"/>
      <c r="M4" s="91"/>
      <c r="N4" s="91"/>
      <c r="O4" s="92"/>
      <c r="P4" s="90">
        <f>P5</f>
        <v>46118</v>
      </c>
      <c r="Q4" s="91"/>
      <c r="R4" s="91"/>
      <c r="S4" s="91"/>
      <c r="T4" s="91"/>
      <c r="U4" s="91"/>
      <c r="V4" s="92"/>
      <c r="W4" s="90">
        <f>W5</f>
        <v>46125</v>
      </c>
      <c r="X4" s="91"/>
      <c r="Y4" s="91"/>
      <c r="Z4" s="91"/>
      <c r="AA4" s="91"/>
      <c r="AB4" s="91"/>
      <c r="AC4" s="92"/>
      <c r="AD4" s="90">
        <f>AD5</f>
        <v>46132</v>
      </c>
      <c r="AE4" s="91"/>
      <c r="AF4" s="91"/>
      <c r="AG4" s="91"/>
      <c r="AH4" s="91"/>
      <c r="AI4" s="91"/>
      <c r="AJ4" s="92"/>
      <c r="AK4" s="90">
        <f>AK5</f>
        <v>46139</v>
      </c>
      <c r="AL4" s="91"/>
      <c r="AM4" s="91"/>
      <c r="AN4" s="91"/>
      <c r="AO4" s="91"/>
      <c r="AP4" s="91"/>
      <c r="AQ4" s="92"/>
      <c r="AR4" s="90">
        <f>AR5</f>
        <v>46146</v>
      </c>
      <c r="AS4" s="91"/>
      <c r="AT4" s="91"/>
      <c r="AU4" s="91"/>
      <c r="AV4" s="91"/>
      <c r="AW4" s="91"/>
      <c r="AX4" s="92"/>
      <c r="AY4" s="90">
        <f>AY5</f>
        <v>46153</v>
      </c>
      <c r="AZ4" s="91"/>
      <c r="BA4" s="91"/>
      <c r="BB4" s="91"/>
      <c r="BC4" s="91"/>
      <c r="BD4" s="91"/>
      <c r="BE4" s="92"/>
    </row>
    <row r="5" spans="1:57" s="21" customFormat="1" ht="15" customHeight="1" x14ac:dyDescent="0.25">
      <c r="A5" s="82"/>
      <c r="B5" s="86"/>
      <c r="C5" s="87"/>
      <c r="D5" s="87"/>
      <c r="E5" s="87"/>
      <c r="F5" s="87"/>
      <c r="I5" s="24">
        <f>Project_Start-WEEKDAY(Project_Start,1)+2+7*(Display_Week-1)</f>
        <v>46111</v>
      </c>
      <c r="J5" s="24">
        <f>I5+1</f>
        <v>46112</v>
      </c>
      <c r="K5" s="24">
        <f t="shared" ref="K5:AX5" si="0">J5+1</f>
        <v>46113</v>
      </c>
      <c r="L5" s="24">
        <f t="shared" si="0"/>
        <v>46114</v>
      </c>
      <c r="M5" s="24">
        <f t="shared" si="0"/>
        <v>46115</v>
      </c>
      <c r="N5" s="24">
        <f t="shared" si="0"/>
        <v>46116</v>
      </c>
      <c r="O5" s="25">
        <f t="shared" si="0"/>
        <v>46117</v>
      </c>
      <c r="P5" s="26">
        <f>O5+1</f>
        <v>46118</v>
      </c>
      <c r="Q5" s="24">
        <f>P5+1</f>
        <v>46119</v>
      </c>
      <c r="R5" s="24">
        <f t="shared" si="0"/>
        <v>46120</v>
      </c>
      <c r="S5" s="24">
        <f t="shared" si="0"/>
        <v>46121</v>
      </c>
      <c r="T5" s="24">
        <f t="shared" si="0"/>
        <v>46122</v>
      </c>
      <c r="U5" s="24">
        <f t="shared" si="0"/>
        <v>46123</v>
      </c>
      <c r="V5" s="25">
        <f t="shared" si="0"/>
        <v>46124</v>
      </c>
      <c r="W5" s="26">
        <f>V5+1</f>
        <v>46125</v>
      </c>
      <c r="X5" s="24">
        <f>W5+1</f>
        <v>46126</v>
      </c>
      <c r="Y5" s="24">
        <f t="shared" si="0"/>
        <v>46127</v>
      </c>
      <c r="Z5" s="24">
        <f t="shared" si="0"/>
        <v>46128</v>
      </c>
      <c r="AA5" s="24">
        <f t="shared" si="0"/>
        <v>46129</v>
      </c>
      <c r="AB5" s="24">
        <f t="shared" si="0"/>
        <v>46130</v>
      </c>
      <c r="AC5" s="25">
        <f t="shared" si="0"/>
        <v>46131</v>
      </c>
      <c r="AD5" s="26">
        <f>AC5+1</f>
        <v>46132</v>
      </c>
      <c r="AE5" s="24">
        <f>AD5+1</f>
        <v>46133</v>
      </c>
      <c r="AF5" s="24">
        <f t="shared" si="0"/>
        <v>46134</v>
      </c>
      <c r="AG5" s="24">
        <f t="shared" si="0"/>
        <v>46135</v>
      </c>
      <c r="AH5" s="24">
        <f t="shared" si="0"/>
        <v>46136</v>
      </c>
      <c r="AI5" s="24">
        <f t="shared" si="0"/>
        <v>46137</v>
      </c>
      <c r="AJ5" s="25">
        <f t="shared" si="0"/>
        <v>46138</v>
      </c>
      <c r="AK5" s="26">
        <f>AJ5+1</f>
        <v>46139</v>
      </c>
      <c r="AL5" s="24">
        <f>AK5+1</f>
        <v>46140</v>
      </c>
      <c r="AM5" s="24">
        <f t="shared" si="0"/>
        <v>46141</v>
      </c>
      <c r="AN5" s="24">
        <f t="shared" si="0"/>
        <v>46142</v>
      </c>
      <c r="AO5" s="24">
        <f t="shared" si="0"/>
        <v>46143</v>
      </c>
      <c r="AP5" s="24">
        <f t="shared" si="0"/>
        <v>46144</v>
      </c>
      <c r="AQ5" s="25">
        <f t="shared" si="0"/>
        <v>46145</v>
      </c>
      <c r="AR5" s="26">
        <f>AQ5+1</f>
        <v>46146</v>
      </c>
      <c r="AS5" s="24">
        <f>AR5+1</f>
        <v>46147</v>
      </c>
      <c r="AT5" s="24">
        <f t="shared" si="0"/>
        <v>46148</v>
      </c>
      <c r="AU5" s="24">
        <f t="shared" si="0"/>
        <v>46149</v>
      </c>
      <c r="AV5" s="24">
        <f t="shared" si="0"/>
        <v>46150</v>
      </c>
      <c r="AW5" s="24">
        <f t="shared" si="0"/>
        <v>46151</v>
      </c>
      <c r="AX5" s="25">
        <f t="shared" si="0"/>
        <v>46152</v>
      </c>
      <c r="AY5" s="26">
        <f>AX5+1</f>
        <v>46153</v>
      </c>
      <c r="AZ5" s="24">
        <f>AY5+1</f>
        <v>46154</v>
      </c>
      <c r="BA5" s="24">
        <f t="shared" ref="BA5" si="1">AZ5+1</f>
        <v>46155</v>
      </c>
      <c r="BB5" s="24">
        <f t="shared" ref="BB5" si="2">BA5+1</f>
        <v>46156</v>
      </c>
      <c r="BC5" s="24">
        <f t="shared" ref="BC5" si="3">BB5+1</f>
        <v>46157</v>
      </c>
      <c r="BD5" s="24">
        <f t="shared" ref="BD5" si="4">BC5+1</f>
        <v>46158</v>
      </c>
      <c r="BE5" s="25">
        <f t="shared" ref="BE5" si="5">BD5+1</f>
        <v>46159</v>
      </c>
    </row>
    <row r="6" spans="1:57" s="21" customFormat="1" ht="15" customHeight="1" x14ac:dyDescent="0.25">
      <c r="A6" s="11"/>
      <c r="B6" s="29"/>
      <c r="C6" s="30"/>
      <c r="D6" s="29"/>
      <c r="E6" s="29"/>
      <c r="F6" s="29"/>
      <c r="I6" s="27" t="str">
        <f t="shared" ref="I6:AN6" si="6">LEFT(TEXT(I5,"ddd"),1)</f>
        <v>M</v>
      </c>
      <c r="J6" s="28" t="str">
        <f t="shared" si="6"/>
        <v>T</v>
      </c>
      <c r="K6" s="28" t="str">
        <f t="shared" si="6"/>
        <v>W</v>
      </c>
      <c r="L6" s="28" t="str">
        <f t="shared" si="6"/>
        <v>T</v>
      </c>
      <c r="M6" s="28" t="str">
        <f t="shared" si="6"/>
        <v>F</v>
      </c>
      <c r="N6" s="28" t="str">
        <f t="shared" si="6"/>
        <v>S</v>
      </c>
      <c r="O6" s="28" t="str">
        <f t="shared" si="6"/>
        <v>S</v>
      </c>
      <c r="P6" s="28" t="str">
        <f t="shared" si="6"/>
        <v>M</v>
      </c>
      <c r="Q6" s="28" t="str">
        <f t="shared" si="6"/>
        <v>T</v>
      </c>
      <c r="R6" s="28" t="str">
        <f t="shared" si="6"/>
        <v>W</v>
      </c>
      <c r="S6" s="28" t="str">
        <f t="shared" si="6"/>
        <v>T</v>
      </c>
      <c r="T6" s="28" t="str">
        <f t="shared" si="6"/>
        <v>F</v>
      </c>
      <c r="U6" s="28" t="str">
        <f t="shared" si="6"/>
        <v>S</v>
      </c>
      <c r="V6" s="28" t="str">
        <f t="shared" si="6"/>
        <v>S</v>
      </c>
      <c r="W6" s="28" t="str">
        <f t="shared" si="6"/>
        <v>M</v>
      </c>
      <c r="X6" s="28" t="str">
        <f t="shared" si="6"/>
        <v>T</v>
      </c>
      <c r="Y6" s="28" t="str">
        <f t="shared" si="6"/>
        <v>W</v>
      </c>
      <c r="Z6" s="28" t="str">
        <f t="shared" si="6"/>
        <v>T</v>
      </c>
      <c r="AA6" s="28" t="str">
        <f t="shared" si="6"/>
        <v>F</v>
      </c>
      <c r="AB6" s="28" t="str">
        <f t="shared" si="6"/>
        <v>S</v>
      </c>
      <c r="AC6" s="28" t="str">
        <f t="shared" si="6"/>
        <v>S</v>
      </c>
      <c r="AD6" s="28" t="str">
        <f t="shared" si="6"/>
        <v>M</v>
      </c>
      <c r="AE6" s="28" t="str">
        <f t="shared" si="6"/>
        <v>T</v>
      </c>
      <c r="AF6" s="28" t="str">
        <f t="shared" si="6"/>
        <v>W</v>
      </c>
      <c r="AG6" s="28" t="str">
        <f t="shared" si="6"/>
        <v>T</v>
      </c>
      <c r="AH6" s="28" t="str">
        <f t="shared" si="6"/>
        <v>F</v>
      </c>
      <c r="AI6" s="28" t="str">
        <f t="shared" si="6"/>
        <v>S</v>
      </c>
      <c r="AJ6" s="28" t="str">
        <f t="shared" si="6"/>
        <v>S</v>
      </c>
      <c r="AK6" s="28" t="str">
        <f t="shared" si="6"/>
        <v>M</v>
      </c>
      <c r="AL6" s="28" t="str">
        <f t="shared" si="6"/>
        <v>T</v>
      </c>
      <c r="AM6" s="28" t="str">
        <f t="shared" si="6"/>
        <v>W</v>
      </c>
      <c r="AN6" s="28" t="str">
        <f t="shared" si="6"/>
        <v>T</v>
      </c>
      <c r="AO6" s="28" t="str">
        <f t="shared" ref="AO6:AX6" si="7">LEFT(TEXT(AO5,"ddd"),1)</f>
        <v>F</v>
      </c>
      <c r="AP6" s="28" t="str">
        <f t="shared" si="7"/>
        <v>S</v>
      </c>
      <c r="AQ6" s="28" t="str">
        <f t="shared" si="7"/>
        <v>S</v>
      </c>
      <c r="AR6" s="28" t="str">
        <f t="shared" si="7"/>
        <v>M</v>
      </c>
      <c r="AS6" s="28" t="str">
        <f t="shared" si="7"/>
        <v>T</v>
      </c>
      <c r="AT6" s="28" t="str">
        <f t="shared" si="7"/>
        <v>W</v>
      </c>
      <c r="AU6" s="28" t="str">
        <f t="shared" si="7"/>
        <v>T</v>
      </c>
      <c r="AV6" s="28" t="str">
        <f t="shared" si="7"/>
        <v>F</v>
      </c>
      <c r="AW6" s="28" t="str">
        <f t="shared" si="7"/>
        <v>S</v>
      </c>
      <c r="AX6" s="28" t="str">
        <f t="shared" si="7"/>
        <v>S</v>
      </c>
      <c r="AY6" s="28" t="str">
        <f t="shared" ref="AY6:BE6" si="8">LEFT(TEXT(AY5,"ddd"),1)</f>
        <v>M</v>
      </c>
      <c r="AZ6" s="28" t="str">
        <f t="shared" si="8"/>
        <v>T</v>
      </c>
      <c r="BA6" s="28" t="str">
        <f t="shared" si="8"/>
        <v>W</v>
      </c>
      <c r="BB6" s="28" t="str">
        <f t="shared" si="8"/>
        <v>T</v>
      </c>
      <c r="BC6" s="28" t="str">
        <f t="shared" si="8"/>
        <v>F</v>
      </c>
      <c r="BD6" s="28" t="str">
        <f t="shared" si="8"/>
        <v>S</v>
      </c>
      <c r="BE6" s="28" t="str">
        <f t="shared" si="8"/>
        <v>S</v>
      </c>
    </row>
    <row r="7" spans="1:57" s="21" customFormat="1" ht="30" hidden="1" customHeight="1" x14ac:dyDescent="0.25">
      <c r="A7" s="10" t="s">
        <v>9</v>
      </c>
      <c r="B7" s="32" t="s">
        <v>10</v>
      </c>
      <c r="C7" s="33"/>
      <c r="D7" s="34"/>
      <c r="E7" s="35"/>
      <c r="F7" s="36"/>
      <c r="H7" s="21"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7" ht="30" customHeight="1" x14ac:dyDescent="0.25">
      <c r="B8" s="89" t="s">
        <v>11</v>
      </c>
      <c r="C8" s="89"/>
      <c r="D8" s="89"/>
      <c r="E8" s="89"/>
      <c r="F8" s="89"/>
    </row>
    <row r="9" spans="1:57" s="37" customFormat="1" ht="30" customHeight="1" x14ac:dyDescent="0.25">
      <c r="A9" s="11"/>
      <c r="B9" s="38" t="s">
        <v>12</v>
      </c>
      <c r="C9" s="39" t="s">
        <v>52</v>
      </c>
      <c r="D9" s="40"/>
      <c r="E9" s="41">
        <v>46143</v>
      </c>
      <c r="F9" s="41">
        <v>46143</v>
      </c>
      <c r="G9" s="12"/>
      <c r="H9" s="3">
        <f t="shared" ref="H9:H25" si="9">IF(OR(ISBLANK(task_start),ISBLANK(task_end)),"",task_end-task_start+1)</f>
        <v>1</v>
      </c>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row>
    <row r="10" spans="1:57" s="37" customFormat="1" ht="30" customHeight="1" x14ac:dyDescent="0.25">
      <c r="A10" s="11"/>
      <c r="B10" s="43" t="s">
        <v>14</v>
      </c>
      <c r="C10" s="39" t="s">
        <v>53</v>
      </c>
      <c r="D10" s="45"/>
      <c r="E10" s="80">
        <v>46144</v>
      </c>
      <c r="F10" s="80">
        <v>46144</v>
      </c>
      <c r="G10" s="12"/>
      <c r="H10" s="3">
        <f t="shared" si="9"/>
        <v>1</v>
      </c>
      <c r="I10" s="42"/>
      <c r="J10" s="42"/>
      <c r="K10" s="42"/>
      <c r="L10" s="42"/>
      <c r="M10" s="42"/>
      <c r="N10" s="42"/>
      <c r="O10" s="42"/>
      <c r="P10" s="42"/>
      <c r="Q10" s="42"/>
      <c r="R10" s="42"/>
      <c r="S10" s="42"/>
      <c r="T10" s="42"/>
      <c r="U10" s="46"/>
      <c r="V10" s="46"/>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row>
    <row r="11" spans="1:57" s="37" customFormat="1" ht="30" customHeight="1" x14ac:dyDescent="0.25">
      <c r="A11" s="11"/>
      <c r="B11" s="43" t="s">
        <v>15</v>
      </c>
      <c r="C11" s="39" t="s">
        <v>53</v>
      </c>
      <c r="D11" s="45"/>
      <c r="E11" s="80">
        <v>46145</v>
      </c>
      <c r="F11" s="80">
        <v>46145</v>
      </c>
      <c r="G11" s="12"/>
      <c r="H11" s="3">
        <f t="shared" si="9"/>
        <v>1</v>
      </c>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row>
    <row r="12" spans="1:57" s="37" customFormat="1" ht="30" customHeight="1" x14ac:dyDescent="0.25">
      <c r="A12" s="10"/>
      <c r="B12" s="43" t="s">
        <v>16</v>
      </c>
      <c r="C12" s="39" t="s">
        <v>54</v>
      </c>
      <c r="D12" s="45"/>
      <c r="E12" s="80">
        <v>46146</v>
      </c>
      <c r="F12" s="80">
        <v>46147</v>
      </c>
      <c r="G12" s="12"/>
      <c r="H12" s="3">
        <f t="shared" si="9"/>
        <v>2</v>
      </c>
      <c r="I12" s="42"/>
      <c r="J12" s="42"/>
      <c r="K12" s="42"/>
      <c r="L12" s="42"/>
      <c r="M12" s="42"/>
      <c r="N12" s="42"/>
      <c r="O12" s="42"/>
      <c r="P12" s="42"/>
      <c r="Q12" s="42"/>
      <c r="R12" s="42"/>
      <c r="S12" s="42"/>
      <c r="T12" s="42"/>
      <c r="U12" s="42"/>
      <c r="V12" s="42"/>
      <c r="W12" s="42"/>
      <c r="X12" s="42"/>
      <c r="Y12" s="46"/>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row>
    <row r="13" spans="1:57" s="37" customFormat="1" ht="30" customHeight="1" x14ac:dyDescent="0.25">
      <c r="A13" s="10"/>
      <c r="B13" s="43" t="s">
        <v>17</v>
      </c>
      <c r="C13" s="39" t="s">
        <v>52</v>
      </c>
      <c r="D13" s="45"/>
      <c r="E13" s="41">
        <v>46150</v>
      </c>
      <c r="F13" s="41">
        <v>46150</v>
      </c>
      <c r="G13" s="12"/>
      <c r="H13" s="3">
        <f t="shared" si="9"/>
        <v>1</v>
      </c>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row>
    <row r="14" spans="1:57" s="37" customFormat="1" ht="30" customHeight="1" x14ac:dyDescent="0.25">
      <c r="A14" s="10"/>
      <c r="B14" s="47" t="s">
        <v>18</v>
      </c>
      <c r="C14" s="48"/>
      <c r="D14" s="49"/>
      <c r="E14" s="50"/>
      <c r="F14" s="51"/>
      <c r="G14" s="12"/>
      <c r="H14" s="3" t="str">
        <f t="shared" si="9"/>
        <v/>
      </c>
    </row>
    <row r="15" spans="1:57" s="37" customFormat="1" ht="30" customHeight="1" x14ac:dyDescent="0.25">
      <c r="A15" s="11"/>
      <c r="B15" s="52" t="s">
        <v>48</v>
      </c>
      <c r="C15" s="53" t="s">
        <v>52</v>
      </c>
      <c r="D15" s="54"/>
      <c r="E15" s="55">
        <v>46079</v>
      </c>
      <c r="F15" s="55">
        <v>46080</v>
      </c>
      <c r="G15" s="12"/>
      <c r="H15" s="3">
        <f t="shared" si="9"/>
        <v>2</v>
      </c>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row>
    <row r="16" spans="1:57" s="37" customFormat="1" ht="30" customHeight="1" x14ac:dyDescent="0.25">
      <c r="A16" s="11"/>
      <c r="B16" s="52" t="s">
        <v>49</v>
      </c>
      <c r="C16" s="53" t="s">
        <v>53</v>
      </c>
      <c r="D16" s="54"/>
      <c r="E16" s="55">
        <v>46079</v>
      </c>
      <c r="F16" s="55">
        <v>46080</v>
      </c>
      <c r="G16" s="12"/>
      <c r="H16" s="3">
        <f t="shared" si="9"/>
        <v>2</v>
      </c>
      <c r="I16" s="42"/>
      <c r="J16" s="42"/>
      <c r="K16" s="42"/>
      <c r="L16" s="42"/>
      <c r="M16" s="42"/>
      <c r="N16" s="42"/>
      <c r="O16" s="42"/>
      <c r="P16" s="42"/>
      <c r="Q16" s="42"/>
      <c r="R16" s="42"/>
      <c r="S16" s="42"/>
      <c r="T16" s="42"/>
      <c r="U16" s="46"/>
      <c r="V16" s="46"/>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row>
    <row r="17" spans="1:50" s="37" customFormat="1" ht="30" customHeight="1" x14ac:dyDescent="0.25">
      <c r="A17" s="11"/>
      <c r="B17" s="52" t="s">
        <v>50</v>
      </c>
      <c r="C17" s="53" t="s">
        <v>54</v>
      </c>
      <c r="D17" s="54"/>
      <c r="E17" s="55">
        <v>46079</v>
      </c>
      <c r="F17" s="55">
        <v>46080</v>
      </c>
      <c r="G17" s="12"/>
      <c r="H17" s="3"/>
      <c r="I17" s="42"/>
      <c r="J17" s="42"/>
      <c r="K17" s="42"/>
      <c r="L17" s="42"/>
      <c r="M17" s="42"/>
      <c r="N17" s="42"/>
      <c r="O17" s="42"/>
      <c r="P17" s="42"/>
      <c r="Q17" s="42"/>
      <c r="R17" s="42"/>
      <c r="S17" s="42"/>
      <c r="T17" s="42"/>
      <c r="U17" s="46"/>
      <c r="V17" s="46"/>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row>
    <row r="18" spans="1:50" s="37" customFormat="1" ht="30" customHeight="1" x14ac:dyDescent="0.25">
      <c r="A18" s="10"/>
      <c r="B18" s="52" t="s">
        <v>51</v>
      </c>
      <c r="C18" s="53" t="s">
        <v>52</v>
      </c>
      <c r="D18" s="54"/>
      <c r="E18" s="55">
        <v>46079</v>
      </c>
      <c r="F18" s="55">
        <v>46150</v>
      </c>
      <c r="G18" s="12"/>
      <c r="H18" s="3">
        <f t="shared" si="9"/>
        <v>72</v>
      </c>
      <c r="I18" s="42"/>
      <c r="J18" s="42"/>
      <c r="K18" s="42"/>
      <c r="L18" s="42"/>
      <c r="M18" s="42"/>
      <c r="N18" s="42"/>
      <c r="O18" s="42"/>
      <c r="P18" s="42"/>
      <c r="Q18" s="42"/>
      <c r="R18" s="42"/>
      <c r="S18" s="42"/>
      <c r="T18" s="42"/>
      <c r="U18" s="42"/>
      <c r="V18" s="42"/>
      <c r="W18" s="42"/>
      <c r="X18" s="42"/>
      <c r="Y18" s="46"/>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row>
    <row r="19" spans="1:50" s="37" customFormat="1" ht="30" customHeight="1" x14ac:dyDescent="0.25">
      <c r="A19" s="10"/>
      <c r="B19" s="56" t="s">
        <v>19</v>
      </c>
      <c r="C19" s="57"/>
      <c r="D19" s="58"/>
      <c r="E19" s="59"/>
      <c r="F19" s="60"/>
      <c r="G19" s="12"/>
      <c r="H19" s="3" t="str">
        <f t="shared" si="9"/>
        <v/>
      </c>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row>
    <row r="20" spans="1:50" s="37" customFormat="1" ht="30" customHeight="1" x14ac:dyDescent="0.25">
      <c r="A20" s="10"/>
      <c r="B20" s="61" t="s">
        <v>20</v>
      </c>
      <c r="C20" s="62" t="s">
        <v>13</v>
      </c>
      <c r="D20" s="63"/>
      <c r="E20" s="64">
        <v>46083</v>
      </c>
      <c r="F20" s="64">
        <v>46087</v>
      </c>
      <c r="G20" s="12"/>
      <c r="H20" s="3">
        <f t="shared" si="9"/>
        <v>5</v>
      </c>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row>
    <row r="21" spans="1:50" s="37" customFormat="1" ht="30" customHeight="1" x14ac:dyDescent="0.25">
      <c r="A21" s="10"/>
      <c r="B21" s="61" t="s">
        <v>21</v>
      </c>
      <c r="C21" s="62" t="s">
        <v>53</v>
      </c>
      <c r="D21" s="63"/>
      <c r="E21" s="64">
        <v>46149</v>
      </c>
      <c r="F21" s="64">
        <v>46150</v>
      </c>
      <c r="G21" s="12"/>
      <c r="H21" s="3">
        <f t="shared" si="9"/>
        <v>2</v>
      </c>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row>
    <row r="22" spans="1:50" s="37" customFormat="1" ht="30" customHeight="1" x14ac:dyDescent="0.25">
      <c r="A22" s="10"/>
      <c r="B22" s="32" t="s">
        <v>22</v>
      </c>
      <c r="C22" s="33"/>
      <c r="D22" s="34"/>
      <c r="E22" s="35"/>
      <c r="F22" s="36"/>
      <c r="G22" s="12"/>
      <c r="H22" s="3" t="str">
        <f t="shared" si="9"/>
        <v/>
      </c>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row>
    <row r="23" spans="1:50" s="37" customFormat="1" ht="30" customHeight="1" x14ac:dyDescent="0.25">
      <c r="A23" s="10"/>
      <c r="B23" s="38" t="s">
        <v>23</v>
      </c>
      <c r="C23" s="44" t="s">
        <v>13</v>
      </c>
      <c r="D23" s="40"/>
      <c r="E23" s="41">
        <v>46113</v>
      </c>
      <c r="F23" s="41">
        <v>46120</v>
      </c>
      <c r="G23" s="12"/>
      <c r="H23" s="3">
        <f t="shared" si="9"/>
        <v>8</v>
      </c>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row>
    <row r="24" spans="1:50" s="37" customFormat="1" ht="30" customHeight="1" x14ac:dyDescent="0.25">
      <c r="A24" s="10"/>
      <c r="B24" s="38" t="s">
        <v>24</v>
      </c>
      <c r="C24" s="44" t="s">
        <v>53</v>
      </c>
      <c r="D24" s="40"/>
      <c r="E24" s="41">
        <v>46120</v>
      </c>
      <c r="F24" s="80">
        <v>46127</v>
      </c>
      <c r="G24" s="12"/>
      <c r="H24" s="3"/>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row>
    <row r="25" spans="1:50" s="37" customFormat="1" ht="30" customHeight="1" x14ac:dyDescent="0.25">
      <c r="A25" s="10"/>
      <c r="B25" s="38" t="s">
        <v>25</v>
      </c>
      <c r="C25" s="44" t="s">
        <v>52</v>
      </c>
      <c r="D25" s="45"/>
      <c r="E25" s="81">
        <v>46135</v>
      </c>
      <c r="F25" s="41">
        <v>46142</v>
      </c>
      <c r="G25" s="12"/>
      <c r="H25" s="3">
        <f t="shared" si="9"/>
        <v>8</v>
      </c>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row>
    <row r="26" spans="1:50" s="76" customFormat="1" ht="30" customHeight="1" x14ac:dyDescent="0.25">
      <c r="A26" s="10"/>
      <c r="B26" s="38" t="s">
        <v>26</v>
      </c>
      <c r="C26" s="44" t="s">
        <v>54</v>
      </c>
      <c r="D26" s="45"/>
      <c r="E26" s="81">
        <v>46135</v>
      </c>
      <c r="F26" s="41">
        <v>46142</v>
      </c>
      <c r="G26" s="12"/>
      <c r="H26" s="3"/>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row>
    <row r="27" spans="1:50" s="76" customFormat="1" ht="30" customHeight="1" x14ac:dyDescent="0.25">
      <c r="A27" s="10"/>
      <c r="B27" s="38" t="s">
        <v>27</v>
      </c>
      <c r="C27" s="44" t="s">
        <v>54</v>
      </c>
      <c r="D27" s="45"/>
      <c r="E27" s="81">
        <v>46135</v>
      </c>
      <c r="F27" s="41">
        <v>46142</v>
      </c>
      <c r="G27" s="12"/>
      <c r="H27" s="3"/>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row>
    <row r="28" spans="1:50" s="76" customFormat="1" ht="30" customHeight="1" x14ac:dyDescent="0.25">
      <c r="A28" s="10"/>
      <c r="B28" s="38" t="s">
        <v>28</v>
      </c>
      <c r="C28" s="44" t="s">
        <v>52</v>
      </c>
      <c r="D28" s="45"/>
      <c r="E28" s="81">
        <v>46135</v>
      </c>
      <c r="F28" s="41">
        <v>46142</v>
      </c>
      <c r="G28" s="12"/>
      <c r="H28" s="3">
        <f>IF(OR(ISBLANK(task_start),ISBLANK(task_end)),"",task_end-task_start+1)</f>
        <v>8</v>
      </c>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row>
    <row r="29" spans="1:50" ht="30" customHeight="1" x14ac:dyDescent="0.25">
      <c r="B29" s="56" t="s">
        <v>29</v>
      </c>
      <c r="C29" s="57"/>
      <c r="D29" s="58"/>
      <c r="E29" s="59"/>
      <c r="F29" s="60"/>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row>
    <row r="30" spans="1:50" ht="30" customHeight="1" x14ac:dyDescent="0.25">
      <c r="B30" s="61" t="s">
        <v>30</v>
      </c>
      <c r="C30" s="62" t="s">
        <v>53</v>
      </c>
      <c r="D30" s="63"/>
      <c r="E30" s="64">
        <v>46143</v>
      </c>
      <c r="F30" s="64">
        <v>46150</v>
      </c>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row>
    <row r="31" spans="1:50" ht="30" customHeight="1" x14ac:dyDescent="0.25">
      <c r="B31" s="78" t="s">
        <v>31</v>
      </c>
      <c r="C31" s="62" t="s">
        <v>52</v>
      </c>
      <c r="D31" s="79"/>
      <c r="E31" s="64">
        <v>46143</v>
      </c>
      <c r="F31" s="64">
        <v>46150</v>
      </c>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row>
    <row r="32" spans="1:50" ht="30" customHeight="1" x14ac:dyDescent="0.25">
      <c r="B32" s="78" t="s">
        <v>32</v>
      </c>
      <c r="C32" s="62" t="s">
        <v>54</v>
      </c>
      <c r="D32" s="79"/>
      <c r="E32" s="64">
        <v>46143</v>
      </c>
      <c r="F32" s="64">
        <v>46150</v>
      </c>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row>
  </sheetData>
  <mergeCells count="11">
    <mergeCell ref="AY4:BE4"/>
    <mergeCell ref="AR4:AX4"/>
    <mergeCell ref="Q2:Z2"/>
    <mergeCell ref="Q1:Z1"/>
    <mergeCell ref="I1:O1"/>
    <mergeCell ref="I2:O2"/>
    <mergeCell ref="I4:O4"/>
    <mergeCell ref="P4:V4"/>
    <mergeCell ref="W4:AC4"/>
    <mergeCell ref="AD4:AJ4"/>
    <mergeCell ref="AK4:AQ4"/>
  </mergeCells>
  <phoneticPr fontId="28" type="noConversion"/>
  <conditionalFormatting sqref="D6:D7">
    <cfRule type="dataBar" priority="54">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9:D32">
    <cfRule type="dataBar" priority="21">
      <dataBar>
        <cfvo type="num" val="0"/>
        <cfvo type="num" val="1"/>
        <color theme="0"/>
      </dataBar>
      <extLst>
        <ext xmlns:x14="http://schemas.microsoft.com/office/spreadsheetml/2009/9/main" uri="{B025F937-C7B1-47D3-B67F-A62EFF666E3E}">
          <x14:id>{C644171D-B1A7-40D3-81B0-F4404AC3D223}</x14:id>
        </ext>
      </extLst>
    </cfRule>
  </conditionalFormatting>
  <conditionalFormatting sqref="I9:AW32 I4:AW7">
    <cfRule type="expression" dxfId="14" priority="32">
      <formula>AND(TODAY()&gt;=I$5, TODAY()&lt;J$5)</formula>
    </cfRule>
  </conditionalFormatting>
  <conditionalFormatting sqref="I15:AW18">
    <cfRule type="expression" dxfId="13" priority="36" stopIfTrue="1">
      <formula>AND(task_end&gt;=I$5,task_start&lt;J$5)</formula>
    </cfRule>
  </conditionalFormatting>
  <conditionalFormatting sqref="I19:AW21 I30:AW32">
    <cfRule type="expression" dxfId="12" priority="34" stopIfTrue="1">
      <formula>AND(task_end&gt;=I$5,task_start&lt;J$5)</formula>
    </cfRule>
  </conditionalFormatting>
  <conditionalFormatting sqref="I9:AX13 I23:AX28">
    <cfRule type="expression" dxfId="11" priority="38" stopIfTrue="1">
      <formula>AND(task_end&gt;=I$5,task_start&lt;J$5)</formula>
    </cfRule>
  </conditionalFormatting>
  <conditionalFormatting sqref="I15:AX18">
    <cfRule type="expression" dxfId="10" priority="35">
      <formula>AND(task_start&lt;=I$5,ROUNDDOWN((task_end-task_start+1)*task_progress,0)+task_start-1&gt;=I$5)</formula>
    </cfRule>
  </conditionalFormatting>
  <conditionalFormatting sqref="I19:AX21">
    <cfRule type="expression" dxfId="9" priority="33">
      <formula>AND(task_start&lt;=I$5,ROUNDDOWN((task_end-task_start+1)*task_progress,0)+task_start-1&gt;=I$5)</formula>
    </cfRule>
  </conditionalFormatting>
  <conditionalFormatting sqref="I23:AX28 I9:AX13">
    <cfRule type="expression" dxfId="8" priority="37">
      <formula>AND(task_start&lt;=I$5,ROUNDDOWN((task_end-task_start+1)*task_progress,0)+task_start-1&gt;=I$5)</formula>
    </cfRule>
  </conditionalFormatting>
  <conditionalFormatting sqref="I23:AX28">
    <cfRule type="expression" dxfId="7" priority="8">
      <formula>AND(task_start&lt;=I$5,ROUNDDOWN((task_end-task_start+1)*task_progress,0)+task_start-1&gt;=I$5)</formula>
    </cfRule>
    <cfRule type="expression" dxfId="6" priority="9" stopIfTrue="1">
      <formula>AND(task_end&gt;=I$5,task_start&lt;#REF!)</formula>
    </cfRule>
  </conditionalFormatting>
  <conditionalFormatting sqref="I30:AX32">
    <cfRule type="expression" dxfId="5" priority="13">
      <formula>AND(task_start&lt;=I$5,ROUNDDOWN((task_end-task_start+1)*task_progress,0)+task_start-1&gt;=I$5)</formula>
    </cfRule>
  </conditionalFormatting>
  <conditionalFormatting sqref="AX9:AX13">
    <cfRule type="expression" dxfId="4" priority="66">
      <formula>AND(task_start&lt;=AX$5,ROUNDDOWN((task_end-task_start+1)*task_progress,0)+task_start-1&gt;=AX$5)</formula>
    </cfRule>
    <cfRule type="expression" dxfId="3" priority="67" stopIfTrue="1">
      <formula>AND(task_end&gt;=AX$5,task_start&lt;#REF!)</formula>
    </cfRule>
  </conditionalFormatting>
  <conditionalFormatting sqref="AX15:AX18">
    <cfRule type="expression" dxfId="2" priority="71" stopIfTrue="1">
      <formula>AND(task_end&gt;=AX$5,task_start&lt;#REF!)</formula>
    </cfRule>
  </conditionalFormatting>
  <conditionalFormatting sqref="AX19:AX21 AX30:AX32">
    <cfRule type="expression" dxfId="1" priority="75" stopIfTrue="1">
      <formula>AND(task_end&gt;=AX$5,task_start&lt;#REF!)</formula>
    </cfRule>
  </conditionalFormatting>
  <conditionalFormatting sqref="AY4:BD6">
    <cfRule type="expression" dxfId="0" priority="1">
      <formula>AND(TODAY()&gt;=AY$5, TODAY()&lt;AZ$5)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9"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3:A25" xr:uid="{DE54E5DE-526D-4D71-8D03-E99B4AB2FEE5}"/>
  </dataValidations>
  <printOptions horizontalCentered="1"/>
  <pageMargins left="0.35" right="0.35" top="0.35" bottom="0.5" header="0.3" footer="0.3"/>
  <pageSetup scale="38"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D6:D7</xm:sqref>
        </x14:conditionalFormatting>
        <x14:conditionalFormatting xmlns:xm="http://schemas.microsoft.com/office/excel/2006/main">
          <x14:cfRule type="dataBar" id="{C644171D-B1A7-40D3-81B0-F4404AC3D223}">
            <x14:dataBar minLength="0" maxLength="100" gradient="0">
              <x14:cfvo type="num">
                <xm:f>0</xm:f>
              </x14:cfvo>
              <x14:cfvo type="num">
                <xm:f>1</xm:f>
              </x14:cfvo>
              <x14:negativeFillColor rgb="FFFF0000"/>
              <x14:axisColor rgb="FF000000"/>
            </x14:dataBar>
          </x14:cfRule>
          <xm:sqref>D9:D32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election activeCell="A6" sqref="A6"/>
    </sheetView>
  </sheetViews>
  <sheetFormatPr defaultColWidth="9" defaultRowHeight="13.2" x14ac:dyDescent="0.25"/>
  <cols>
    <col min="1" max="1" width="87" style="4" customWidth="1"/>
    <col min="2" max="16384" width="9" style="1"/>
  </cols>
  <sheetData>
    <row r="1" spans="1:2" ht="46.5" customHeight="1" x14ac:dyDescent="0.25"/>
    <row r="2" spans="1:2" s="6" customFormat="1" ht="15.6" x14ac:dyDescent="0.25">
      <c r="A2" s="69" t="s">
        <v>33</v>
      </c>
      <c r="B2" s="5"/>
    </row>
    <row r="3" spans="1:2" s="8" customFormat="1" ht="27" customHeight="1" x14ac:dyDescent="0.25">
      <c r="A3" s="70"/>
      <c r="B3" s="9"/>
    </row>
    <row r="4" spans="1:2" s="7" customFormat="1" ht="30" x14ac:dyDescent="0.7">
      <c r="A4" s="71" t="s">
        <v>34</v>
      </c>
    </row>
    <row r="5" spans="1:2" ht="74.25" customHeight="1" x14ac:dyDescent="0.25">
      <c r="A5" s="72" t="s">
        <v>35</v>
      </c>
    </row>
    <row r="6" spans="1:2" ht="26.25" customHeight="1" x14ac:dyDescent="0.25">
      <c r="A6" s="71" t="s">
        <v>36</v>
      </c>
    </row>
    <row r="7" spans="1:2" s="4" customFormat="1" ht="205.2" customHeight="1" x14ac:dyDescent="0.25">
      <c r="A7" s="73" t="s">
        <v>37</v>
      </c>
    </row>
    <row r="8" spans="1:2" s="7" customFormat="1" ht="30" x14ac:dyDescent="0.7">
      <c r="A8" s="71" t="s">
        <v>38</v>
      </c>
    </row>
    <row r="9" spans="1:2" ht="41.4" x14ac:dyDescent="0.25">
      <c r="A9" s="72" t="s">
        <v>39</v>
      </c>
    </row>
    <row r="10" spans="1:2" s="4" customFormat="1" ht="28.2" customHeight="1" x14ac:dyDescent="0.25">
      <c r="A10" s="74" t="s">
        <v>40</v>
      </c>
    </row>
    <row r="11" spans="1:2" s="7" customFormat="1" ht="30" x14ac:dyDescent="0.7">
      <c r="A11" s="71" t="s">
        <v>41</v>
      </c>
    </row>
    <row r="12" spans="1:2" ht="27.6" x14ac:dyDescent="0.25">
      <c r="A12" s="72" t="s">
        <v>42</v>
      </c>
    </row>
    <row r="13" spans="1:2" s="4" customFormat="1" ht="28.2" customHeight="1" x14ac:dyDescent="0.25">
      <c r="A13" s="74" t="s">
        <v>43</v>
      </c>
    </row>
    <row r="14" spans="1:2" s="7" customFormat="1" ht="30" x14ac:dyDescent="0.7">
      <c r="A14" s="71" t="s">
        <v>44</v>
      </c>
    </row>
    <row r="15" spans="1:2" ht="75" customHeight="1" x14ac:dyDescent="0.25">
      <c r="A15" s="72" t="s">
        <v>45</v>
      </c>
    </row>
    <row r="16" spans="1:2" ht="69" x14ac:dyDescent="0.25">
      <c r="A16" s="72" t="s">
        <v>46</v>
      </c>
    </row>
    <row r="17" spans="1:1" x14ac:dyDescent="0.25">
      <c r="A17" s="75"/>
    </row>
    <row r="18" spans="1:1" x14ac:dyDescent="0.25">
      <c r="A18" s="75"/>
    </row>
    <row r="19" spans="1:1" x14ac:dyDescent="0.25">
      <c r="A19" s="75"/>
    </row>
    <row r="20" spans="1:1" x14ac:dyDescent="0.25">
      <c r="A20" s="75"/>
    </row>
    <row r="21" spans="1:1" x14ac:dyDescent="0.25">
      <c r="A21" s="75"/>
    </row>
    <row r="22" spans="1:1" x14ac:dyDescent="0.25">
      <c r="A22" s="75"/>
    </row>
    <row r="23" spans="1:1" x14ac:dyDescent="0.25">
      <c r="A23" s="75"/>
    </row>
    <row r="24" spans="1:1" x14ac:dyDescent="0.25">
      <c r="A24" s="7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purl.org/dc/terms/"/>
    <ds:schemaRef ds:uri="16c05727-aa75-4e4a-9b5f-8a80a1165891"/>
    <ds:schemaRef ds:uri="http://schemas.microsoft.com/office/2006/metadata/properties"/>
    <ds:schemaRef ds:uri="http://purl.org/dc/elements/1.1/"/>
    <ds:schemaRef ds:uri="http://schemas.microsoft.com/office/2006/documentManagement/types"/>
    <ds:schemaRef ds:uri="http://www.w3.org/XML/1998/namespace"/>
    <ds:schemaRef ds:uri="71af3243-3dd4-4a8d-8c0d-dd76da1f02a5"/>
    <ds:schemaRef ds:uri="http://schemas.microsoft.com/office/infopath/2007/PartnerControls"/>
    <ds:schemaRef ds:uri="http://schemas.openxmlformats.org/package/2006/metadata/core-properties"/>
    <ds:schemaRef ds:uri="http://purl.org/dc/dcmitype/"/>
    <ds:schemaRef ds:uri="230e9df3-be65-4c73-a93b-d1236ebd677e"/>
    <ds:schemaRef ds:uri="http://schemas.microsoft.com/sharepoint/v3"/>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Noah Morland</dc:creator>
  <cp:keywords/>
  <dc:description/>
  <cp:lastModifiedBy>Jacob Lamoureux</cp:lastModifiedBy>
  <cp:revision/>
  <dcterms:created xsi:type="dcterms:W3CDTF">2022-03-11T22:41:12Z</dcterms:created>
  <dcterms:modified xsi:type="dcterms:W3CDTF">2026-05-08T04:19:55Z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