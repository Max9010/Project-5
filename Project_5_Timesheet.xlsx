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49b30d93d0cb452/Classes/25-26 Semester 2/CIVE 202/Project 5/"/>
    </mc:Choice>
  </mc:AlternateContent>
  <xr:revisionPtr revIDLastSave="682" documentId="11_F25DC773A252ABDACC1048C1C15D76B25BDE58EC" xr6:coauthVersionLast="47" xr6:coauthVersionMax="47" xr10:uidLastSave="{D18DD52C-DD7C-4CF4-8F9E-F45F0AB9F69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G25" i="1" s="1"/>
  <c r="F24" i="1"/>
  <c r="G24" i="1" s="1"/>
  <c r="F23" i="1"/>
  <c r="G23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22" i="1"/>
  <c r="G22" i="1" s="1"/>
  <c r="F3" i="1"/>
  <c r="G3" i="1" s="1"/>
  <c r="F12" i="1"/>
  <c r="F13" i="1"/>
  <c r="G13" i="1" s="1"/>
  <c r="F14" i="1"/>
  <c r="G14" i="1" s="1"/>
  <c r="F4" i="1"/>
  <c r="G4" i="1" s="1"/>
  <c r="F15" i="1"/>
  <c r="G15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G12" i="1" l="1"/>
  <c r="I3" i="1" l="1"/>
</calcChain>
</file>

<file path=xl/sharedStrings.xml><?xml version="1.0" encoding="utf-8"?>
<sst xmlns="http://schemas.openxmlformats.org/spreadsheetml/2006/main" count="58" uniqueCount="31">
  <si>
    <t>Day</t>
  </si>
  <si>
    <t>Person</t>
  </si>
  <si>
    <t>Hours worked</t>
  </si>
  <si>
    <t>Tasks Completeted</t>
  </si>
  <si>
    <t>Hourly Rate</t>
  </si>
  <si>
    <t>Compensation</t>
  </si>
  <si>
    <t>Project Total</t>
  </si>
  <si>
    <t>Max</t>
  </si>
  <si>
    <t>Jacob</t>
  </si>
  <si>
    <t>Noah</t>
  </si>
  <si>
    <t>Create Github</t>
  </si>
  <si>
    <t>Create ReadMe</t>
  </si>
  <si>
    <t>Finished ReadMe</t>
  </si>
  <si>
    <t>Uploaded Files to Github</t>
  </si>
  <si>
    <t>Edited files on Github</t>
  </si>
  <si>
    <t>Start Scope of Work</t>
  </si>
  <si>
    <t>Write methods section for SOW</t>
  </si>
  <si>
    <t>Write goals for SOW</t>
  </si>
  <si>
    <t>Outline tasks for SOW</t>
  </si>
  <si>
    <t>Draft initial Gantt Chart</t>
  </si>
  <si>
    <t>Create code document</t>
  </si>
  <si>
    <t>Added charts and graphs to code</t>
  </si>
  <si>
    <t>Ran simulations in code</t>
  </si>
  <si>
    <t>Create annotated code document</t>
  </si>
  <si>
    <t>Finalize code functions</t>
  </si>
  <si>
    <t>Draft initial code functions</t>
  </si>
  <si>
    <t>Create Report</t>
  </si>
  <si>
    <t>Write Introduction, Summary, and Methods section of report</t>
  </si>
  <si>
    <t>Write Results, Discussion, and Analysis of Bias for report</t>
  </si>
  <si>
    <t>Write conclusion for report and edit</t>
  </si>
  <si>
    <t>Finalize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</si>
</sst>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₿]\ #,##0.000000" x16r2:formatCode16="[$₿-x-xbt2]\ #,##0.000000"/>
    <numFmt numFmtId="165" formatCode="[$₿]\ #,##0.00000" x16r2:formatCode16="[$₿-x-xbt2]\ #,##0.00000"/>
    <numFmt numFmtId="166" formatCode="[$₿]\ #,##0.00" x16r2:formatCode16="[$₿-x-xbt2]\ #,##0.00"/>
    <numFmt numFmtId="167" formatCode="[$$-409]#,##0.00"/>
    <numFmt numFmtId="168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">
    <dxf>
      <numFmt numFmtId="168" formatCode="&quot;$&quot;#,##0.00"/>
    </dxf>
    <dxf>
      <numFmt numFmtId="168" formatCode="&quot;$&quot;#,##0.00"/>
    </dxf>
    <dxf>
      <numFmt numFmtId="168" formatCode="&quot;$&quot;#,##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240150-3B36-4940-A1F7-9B903704910B}" name="Table2" displayName="Table2" ref="B2:G26" totalsRowShown="0">
  <autoFilter ref="B2:G26" xr:uid="{67240150-3B36-4940-A1F7-9B903704910B}"/>
  <sortState xmlns:xlrd2="http://schemas.microsoft.com/office/spreadsheetml/2017/richdata2" ref="B3:G26">
    <sortCondition ref="B2:B26"/>
  </sortState>
  <tableColumns count="6">
    <tableColumn id="1" xr3:uid="{AF3D9E15-3515-4417-86C9-5B7199D45F72}" name="Day" dataDxfId="3"/>
    <tableColumn id="2" xr3:uid="{1BCEFB89-A95A-4F78-A8A8-067190B9D7DF}" name="Person"/>
    <tableColumn id="3" xr3:uid="{471DBDFC-AD18-4B5C-9339-0A2957FB8F4D}" name="Hours worked"/>
    <tableColumn id="4" xr3:uid="{D0374F89-D9AE-4406-83D9-E3E923F073BE}" name="Tasks Completeted"/>
    <tableColumn id="5" xr3:uid="{9FDA7413-9FE1-4E03-A0D9-7F187E807096}" name="Hourly Rate" dataDxfId="2">
      <calculatedColumnFormula>_xlfn.SINGLE(_xlfn.XLOOKUP(Table2[[#This Row],[Person]],Table1[Person],Table1[Hourly Rate]))</calculatedColumnFormula>
    </tableColumn>
    <tableColumn id="6" xr3:uid="{DD5BA6BC-746E-4753-B7BA-8F426D66BCD6}" name="Compensation" dataDxfId="1">
      <calculatedColumnFormula>D3*F3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8D0E7A-CF67-4FBE-9569-43381E17EB02}" name="Table1" displayName="Table1" ref="I6:J9" totalsRowShown="0">
  <autoFilter ref="I6:J9" xr:uid="{A78D0E7A-CF67-4FBE-9569-43381E17EB02}"/>
  <tableColumns count="2">
    <tableColumn id="1" xr3:uid="{4307B6E4-B4C9-40E4-8791-CEE19560E247}" name="Person"/>
    <tableColumn id="2" xr3:uid="{F7AEB850-A7B4-487A-9F71-F261427D7601}" name="Hourly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zoomScaleNormal="100" workbookViewId="0">
      <selection activeCell="D26" sqref="D26"/>
    </sheetView>
  </sheetViews>
  <sheetFormatPr defaultRowHeight="14.4" x14ac:dyDescent="0.3"/>
  <cols>
    <col min="2" max="2" width="9.5546875" bestFit="1" customWidth="1"/>
    <col min="3" max="3" width="12.6640625" customWidth="1"/>
    <col min="4" max="4" width="14.5546875" customWidth="1"/>
    <col min="5" max="5" width="50.44140625" bestFit="1" customWidth="1"/>
    <col min="6" max="6" width="12.6640625" customWidth="1"/>
    <col min="7" max="7" width="15.109375" customWidth="1"/>
    <col min="8" max="8" width="16.6640625" customWidth="1"/>
    <col min="9" max="9" width="16" customWidth="1"/>
    <col min="10" max="10" width="10.5546875" customWidth="1"/>
  </cols>
  <sheetData>
    <row r="2" spans="2:10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I2" t="s">
        <v>6</v>
      </c>
    </row>
    <row r="3" spans="2:10" x14ac:dyDescent="0.3">
      <c r="B3" s="4">
        <v>46080</v>
      </c>
      <c r="C3" t="s">
        <v>9</v>
      </c>
      <c r="D3">
        <v>1</v>
      </c>
      <c r="E3" t="s">
        <v>15</v>
      </c>
      <c r="F3" s="6">
        <f>_xlfn.SINGLE(_xlfn.XLOOKUP(Table2[[#This Row],[Person]],Table1[Person],Table1[Hourly Rate]))</f>
        <v>67.67</v>
      </c>
      <c r="G3" s="6">
        <f>D3*F3</f>
        <v>67.67</v>
      </c>
      <c r="H3" s="5"/>
      <c r="I3" s="6">
        <f>SUM(Table2[Compensation])</f>
        <v>1448.5350000000001</v>
      </c>
    </row>
    <row r="4" spans="2:10" x14ac:dyDescent="0.3">
      <c r="B4" s="4">
        <v>46080</v>
      </c>
      <c r="C4" t="s">
        <v>7</v>
      </c>
      <c r="D4">
        <v>1.5</v>
      </c>
      <c r="E4" t="s">
        <v>16</v>
      </c>
      <c r="F4" s="6">
        <f>_xlfn.SINGLE(_xlfn.XLOOKUP(Table2[[#This Row],[Person]],Table1[Person],Table1[Hourly Rate]))</f>
        <v>2</v>
      </c>
      <c r="G4" s="6">
        <f>D4*F4</f>
        <v>3</v>
      </c>
      <c r="H4" s="5"/>
    </row>
    <row r="5" spans="2:10" x14ac:dyDescent="0.3">
      <c r="B5" s="4">
        <v>46080</v>
      </c>
      <c r="C5" t="s">
        <v>7</v>
      </c>
      <c r="D5">
        <v>1.5</v>
      </c>
      <c r="E5" t="s">
        <v>17</v>
      </c>
      <c r="F5" s="6">
        <f>_xlfn.SINGLE(_xlfn.XLOOKUP(Table2[[#This Row],[Person]],Table1[Person],Table1[Hourly Rate]))</f>
        <v>2</v>
      </c>
      <c r="G5" s="6">
        <f>D5*F5</f>
        <v>3</v>
      </c>
      <c r="H5" s="5"/>
    </row>
    <row r="6" spans="2:10" x14ac:dyDescent="0.3">
      <c r="B6" s="4">
        <v>46080</v>
      </c>
      <c r="C6" t="s">
        <v>8</v>
      </c>
      <c r="D6">
        <v>1.5</v>
      </c>
      <c r="E6" t="s">
        <v>18</v>
      </c>
      <c r="F6" s="6">
        <f>_xlfn.SINGLE(_xlfn.XLOOKUP(Table2[[#This Row],[Person]],Table1[Person],Table1[Hourly Rate]))</f>
        <v>55</v>
      </c>
      <c r="G6" s="6">
        <f>D6*F6</f>
        <v>82.5</v>
      </c>
      <c r="H6" s="5"/>
      <c r="I6" t="s">
        <v>1</v>
      </c>
      <c r="J6" t="s">
        <v>4</v>
      </c>
    </row>
    <row r="7" spans="2:10" x14ac:dyDescent="0.3">
      <c r="B7" s="4">
        <v>46087</v>
      </c>
      <c r="C7" t="s">
        <v>8</v>
      </c>
      <c r="D7">
        <v>2</v>
      </c>
      <c r="E7" t="s">
        <v>19</v>
      </c>
      <c r="F7" s="6">
        <f>_xlfn.SINGLE(_xlfn.XLOOKUP(Table2[[#This Row],[Person]],Table1[Person],Table1[Hourly Rate]))</f>
        <v>55</v>
      </c>
      <c r="G7" s="6">
        <f>D7*F7</f>
        <v>110</v>
      </c>
      <c r="H7" s="5"/>
      <c r="I7" t="s">
        <v>8</v>
      </c>
      <c r="J7" s="6">
        <v>55</v>
      </c>
    </row>
    <row r="8" spans="2:10" x14ac:dyDescent="0.3">
      <c r="B8" s="4">
        <v>46087</v>
      </c>
      <c r="C8" t="s">
        <v>9</v>
      </c>
      <c r="D8">
        <v>2</v>
      </c>
      <c r="E8" t="s">
        <v>19</v>
      </c>
      <c r="F8" s="6">
        <f>_xlfn.SINGLE(_xlfn.XLOOKUP(Table2[[#This Row],[Person]],Table1[Person],Table1[Hourly Rate]))</f>
        <v>67.67</v>
      </c>
      <c r="G8" s="6">
        <f>D8*F8</f>
        <v>135.34</v>
      </c>
      <c r="H8" s="5"/>
      <c r="I8" t="s">
        <v>7</v>
      </c>
      <c r="J8" s="6">
        <v>2</v>
      </c>
    </row>
    <row r="9" spans="2:10" x14ac:dyDescent="0.3">
      <c r="B9" s="4">
        <v>46087</v>
      </c>
      <c r="C9" t="s">
        <v>7</v>
      </c>
      <c r="D9">
        <v>2</v>
      </c>
      <c r="E9" t="s">
        <v>19</v>
      </c>
      <c r="F9" s="6">
        <f>_xlfn.SINGLE(_xlfn.XLOOKUP(Table2[[#This Row],[Person]],Table1[Person],Table1[Hourly Rate]))</f>
        <v>2</v>
      </c>
      <c r="G9" s="6">
        <f>D9*F9</f>
        <v>4</v>
      </c>
      <c r="H9" s="5"/>
      <c r="I9" t="s">
        <v>9</v>
      </c>
      <c r="J9" s="6">
        <v>67.67</v>
      </c>
    </row>
    <row r="10" spans="2:10" x14ac:dyDescent="0.3">
      <c r="B10" s="4">
        <v>46136</v>
      </c>
      <c r="C10" t="s">
        <v>9</v>
      </c>
      <c r="D10">
        <v>1</v>
      </c>
      <c r="E10" t="s">
        <v>20</v>
      </c>
      <c r="F10" s="6">
        <f>_xlfn.SINGLE(_xlfn.XLOOKUP(Table2[[#This Row],[Person]],Table1[Person],Table1[Hourly Rate]))</f>
        <v>67.67</v>
      </c>
      <c r="G10" s="6">
        <f>D10*F10</f>
        <v>67.67</v>
      </c>
      <c r="H10" s="5"/>
    </row>
    <row r="11" spans="2:10" x14ac:dyDescent="0.3">
      <c r="B11" s="4">
        <v>46136</v>
      </c>
      <c r="C11" t="s">
        <v>8</v>
      </c>
      <c r="D11">
        <v>2</v>
      </c>
      <c r="E11" t="s">
        <v>25</v>
      </c>
      <c r="F11" s="6">
        <f>_xlfn.SINGLE(_xlfn.XLOOKUP(Table2[[#This Row],[Person]],Table1[Person],Table1[Hourly Rate]))</f>
        <v>55</v>
      </c>
      <c r="G11" s="6">
        <f>D11*F11</f>
        <v>110</v>
      </c>
      <c r="H11" s="5"/>
    </row>
    <row r="12" spans="2:10" x14ac:dyDescent="0.3">
      <c r="B12" s="4">
        <v>46137</v>
      </c>
      <c r="C12" t="s">
        <v>7</v>
      </c>
      <c r="D12">
        <v>0.5</v>
      </c>
      <c r="E12" t="s">
        <v>10</v>
      </c>
      <c r="F12" s="6">
        <f>_xlfn.SINGLE(_xlfn.XLOOKUP(Table2[[#This Row],[Person]],Table1[Person],Table1[Hourly Rate]))</f>
        <v>2</v>
      </c>
      <c r="G12" s="6">
        <f>D12*F12</f>
        <v>1</v>
      </c>
      <c r="H12" s="5"/>
    </row>
    <row r="13" spans="2:10" x14ac:dyDescent="0.3">
      <c r="B13" s="4">
        <v>46138</v>
      </c>
      <c r="C13" t="s">
        <v>8</v>
      </c>
      <c r="D13">
        <v>1</v>
      </c>
      <c r="E13" t="s">
        <v>11</v>
      </c>
      <c r="F13" s="6">
        <f>_xlfn.SINGLE(_xlfn.XLOOKUP(Table2[[#This Row],[Person]],Table1[Person],Table1[Hourly Rate]))</f>
        <v>55</v>
      </c>
      <c r="G13" s="6">
        <f>D13*F13</f>
        <v>55</v>
      </c>
      <c r="H13" s="5"/>
    </row>
    <row r="14" spans="2:10" x14ac:dyDescent="0.3">
      <c r="B14" s="4">
        <v>46140</v>
      </c>
      <c r="C14" t="s">
        <v>8</v>
      </c>
      <c r="D14">
        <v>0.5</v>
      </c>
      <c r="E14" t="s">
        <v>13</v>
      </c>
      <c r="F14" s="6">
        <f>_xlfn.SINGLE(_xlfn.XLOOKUP(Table2[[#This Row],[Person]],Table1[Person],Table1[Hourly Rate]))</f>
        <v>55</v>
      </c>
      <c r="G14" s="6">
        <f>D14*F14</f>
        <v>27.5</v>
      </c>
      <c r="H14" s="5"/>
    </row>
    <row r="15" spans="2:10" x14ac:dyDescent="0.3">
      <c r="B15" s="4">
        <v>46142</v>
      </c>
      <c r="C15" t="s">
        <v>9</v>
      </c>
      <c r="D15">
        <v>1.5</v>
      </c>
      <c r="E15" t="s">
        <v>14</v>
      </c>
      <c r="F15" s="6">
        <f>_xlfn.SINGLE(_xlfn.XLOOKUP(Table2[[#This Row],[Person]],Table1[Person],Table1[Hourly Rate]))</f>
        <v>67.67</v>
      </c>
      <c r="G15" s="6">
        <f>D15*F15</f>
        <v>101.505</v>
      </c>
      <c r="H15" s="3"/>
    </row>
    <row r="16" spans="2:10" x14ac:dyDescent="0.3">
      <c r="B16" s="4">
        <v>46145</v>
      </c>
      <c r="C16" t="s">
        <v>9</v>
      </c>
      <c r="D16">
        <v>1.5</v>
      </c>
      <c r="E16" t="s">
        <v>24</v>
      </c>
      <c r="F16" s="6">
        <f>_xlfn.SINGLE(_xlfn.XLOOKUP(Table2[[#This Row],[Person]],Table1[Person],Table1[Hourly Rate]))</f>
        <v>67.67</v>
      </c>
      <c r="G16" s="6">
        <f>D16*F16</f>
        <v>101.505</v>
      </c>
      <c r="H16" s="3"/>
    </row>
    <row r="17" spans="2:8" x14ac:dyDescent="0.3">
      <c r="B17" s="4">
        <v>46145</v>
      </c>
      <c r="C17" t="s">
        <v>7</v>
      </c>
      <c r="D17">
        <v>1.5</v>
      </c>
      <c r="E17" t="s">
        <v>21</v>
      </c>
      <c r="F17" s="6">
        <f>_xlfn.SINGLE(_xlfn.XLOOKUP(Table2[[#This Row],[Person]],Table1[Person],Table1[Hourly Rate]))</f>
        <v>2</v>
      </c>
      <c r="G17" s="6">
        <f>D17*F17</f>
        <v>3</v>
      </c>
      <c r="H17" s="3"/>
    </row>
    <row r="18" spans="2:8" x14ac:dyDescent="0.3">
      <c r="B18" s="4">
        <v>46145</v>
      </c>
      <c r="C18" t="s">
        <v>9</v>
      </c>
      <c r="D18">
        <v>1.5</v>
      </c>
      <c r="E18" t="s">
        <v>22</v>
      </c>
      <c r="F18" s="6">
        <f>_xlfn.SINGLE(_xlfn.XLOOKUP(Table2[[#This Row],[Person]],Table1[Person],Table1[Hourly Rate]))</f>
        <v>67.67</v>
      </c>
      <c r="G18" s="6">
        <f>D18*F18</f>
        <v>101.505</v>
      </c>
      <c r="H18" s="3"/>
    </row>
    <row r="19" spans="2:8" x14ac:dyDescent="0.3">
      <c r="B19" s="4">
        <v>46146</v>
      </c>
      <c r="C19" t="s">
        <v>8</v>
      </c>
      <c r="D19">
        <v>2</v>
      </c>
      <c r="E19" t="s">
        <v>23</v>
      </c>
      <c r="F19" s="6">
        <f>_xlfn.SINGLE(_xlfn.XLOOKUP(Table2[[#This Row],[Person]],Table1[Person],Table1[Hourly Rate]))</f>
        <v>55</v>
      </c>
      <c r="G19" s="6">
        <f>D19*F19</f>
        <v>110</v>
      </c>
      <c r="H19" s="3"/>
    </row>
    <row r="20" spans="2:8" x14ac:dyDescent="0.3">
      <c r="B20" s="4">
        <v>46147</v>
      </c>
      <c r="C20" t="s">
        <v>7</v>
      </c>
      <c r="D20">
        <v>2.5</v>
      </c>
      <c r="E20" t="s">
        <v>26</v>
      </c>
      <c r="F20" s="6">
        <f>_xlfn.SINGLE(_xlfn.XLOOKUP(Table2[[#This Row],[Person]],Table1[Person],Table1[Hourly Rate]))</f>
        <v>2</v>
      </c>
      <c r="G20" s="6">
        <f>D20*F20</f>
        <v>5</v>
      </c>
      <c r="H20" s="3"/>
    </row>
    <row r="21" spans="2:8" x14ac:dyDescent="0.3">
      <c r="B21" s="4">
        <v>46147</v>
      </c>
      <c r="C21" t="s">
        <v>8</v>
      </c>
      <c r="D21">
        <v>2</v>
      </c>
      <c r="E21" t="s">
        <v>27</v>
      </c>
      <c r="F21" s="6">
        <f>_xlfn.SINGLE(_xlfn.XLOOKUP(Table2[[#This Row],[Person]],Table1[Person],Table1[Hourly Rate]))</f>
        <v>55</v>
      </c>
      <c r="G21" s="6">
        <f>D21*F21</f>
        <v>110</v>
      </c>
      <c r="H21" s="3"/>
    </row>
    <row r="22" spans="2:8" x14ac:dyDescent="0.3">
      <c r="B22" s="4">
        <v>46148</v>
      </c>
      <c r="C22" t="s">
        <v>8</v>
      </c>
      <c r="D22">
        <v>1</v>
      </c>
      <c r="E22" t="s">
        <v>12</v>
      </c>
      <c r="F22" s="6">
        <f>_xlfn.SINGLE(_xlfn.XLOOKUP(Table2[[#This Row],[Person]],Table1[Person],Table1[Hourly Rate]))</f>
        <v>55</v>
      </c>
      <c r="G22" s="6">
        <f>D22*F22</f>
        <v>55</v>
      </c>
      <c r="H22" s="3"/>
    </row>
    <row r="23" spans="2:8" x14ac:dyDescent="0.3">
      <c r="B23" s="4">
        <v>46148</v>
      </c>
      <c r="C23" t="s">
        <v>9</v>
      </c>
      <c r="D23">
        <v>2</v>
      </c>
      <c r="E23" t="s">
        <v>28</v>
      </c>
      <c r="F23" s="6">
        <f>_xlfn.SINGLE(_xlfn.XLOOKUP(Table2[[#This Row],[Person]],Table1[Person],Table1[Hourly Rate]))</f>
        <v>67.67</v>
      </c>
      <c r="G23" s="6">
        <f>D23*F23</f>
        <v>135.34</v>
      </c>
      <c r="H23" s="3"/>
    </row>
    <row r="24" spans="2:8" x14ac:dyDescent="0.3">
      <c r="B24" s="4">
        <v>46148</v>
      </c>
      <c r="C24" t="s">
        <v>7</v>
      </c>
      <c r="D24">
        <v>2</v>
      </c>
      <c r="E24" t="s">
        <v>29</v>
      </c>
      <c r="F24" s="6">
        <f>_xlfn.SINGLE(_xlfn.XLOOKUP(Table2[[#This Row],[Person]],Table1[Person],Table1[Hourly Rate]))</f>
        <v>2</v>
      </c>
      <c r="G24" s="6">
        <f>D24*F24</f>
        <v>4</v>
      </c>
      <c r="H24" s="3"/>
    </row>
    <row r="25" spans="2:8" x14ac:dyDescent="0.3">
      <c r="B25" s="4">
        <v>46149</v>
      </c>
      <c r="C25" t="s">
        <v>8</v>
      </c>
      <c r="D25">
        <v>1</v>
      </c>
      <c r="E25" t="s">
        <v>30</v>
      </c>
      <c r="F25" s="6">
        <f>_xlfn.SINGLE(_xlfn.XLOOKUP(Table2[[#This Row],[Person]],Table1[Person],Table1[Hourly Rate]))</f>
        <v>55</v>
      </c>
      <c r="G25" s="6">
        <f>D25*F25</f>
        <v>55</v>
      </c>
    </row>
    <row r="26" spans="2:8" x14ac:dyDescent="0.3">
      <c r="B26" s="4"/>
      <c r="F26" s="6"/>
      <c r="G26" s="6"/>
    </row>
    <row r="27" spans="2:8" x14ac:dyDescent="0.3">
      <c r="F27" s="2"/>
      <c r="G27" s="1"/>
    </row>
    <row r="28" spans="2:8" x14ac:dyDescent="0.3">
      <c r="F28" s="2"/>
      <c r="G28" s="1"/>
    </row>
    <row r="29" spans="2:8" x14ac:dyDescent="0.3">
      <c r="F29" s="2"/>
    </row>
    <row r="30" spans="2:8" x14ac:dyDescent="0.3">
      <c r="F30" s="2"/>
    </row>
    <row r="31" spans="2:8" x14ac:dyDescent="0.3">
      <c r="F31" s="2"/>
    </row>
    <row r="32" spans="2:8" x14ac:dyDescent="0.3">
      <c r="F32" s="2"/>
    </row>
    <row r="33" spans="6:6" x14ac:dyDescent="0.3">
      <c r="F33" s="2"/>
    </row>
    <row r="34" spans="6:6" x14ac:dyDescent="0.3">
      <c r="F34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Lamoureux</dc:creator>
  <cp:lastModifiedBy>Jacob Lamoureux</cp:lastModifiedBy>
  <dcterms:created xsi:type="dcterms:W3CDTF">2015-06-05T18:17:20Z</dcterms:created>
  <dcterms:modified xsi:type="dcterms:W3CDTF">2026-05-08T03:42:43Z</dcterms:modified>
</cp:coreProperties>
</file>